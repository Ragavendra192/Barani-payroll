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showInkAnnotation="0"/>
  <xr:revisionPtr revIDLastSave="0" documentId="13_ncr:1_{1E24EA02-B318-46F1-B0A5-5A85F62A194B}" xr6:coauthVersionLast="36" xr6:coauthVersionMax="47" xr10:uidLastSave="{00000000-0000-0000-0000-000000000000}"/>
  <bookViews>
    <workbookView xWindow="-120" yWindow="-120" windowWidth="20730" windowHeight="11040" tabRatio="734" activeTab="1" xr2:uid="{00000000-000D-0000-FFFF-FFFF00000000}"/>
  </bookViews>
  <sheets>
    <sheet name="STAFFS" sheetId="3" r:id="rId1"/>
    <sheet name="WORKER'S - ESI PF" sheetId="2" r:id="rId2"/>
    <sheet name="STAFF'S (NAPS)" sheetId="5" r:id="rId3"/>
    <sheet name="WORKER'S (NAPS) (2)" sheetId="7" r:id="rId4"/>
    <sheet name="Non-pf ESi staff" sheetId="6" r:id="rId5"/>
    <sheet name="Non-pf ESi worker" sheetId="8" r:id="rId6"/>
  </sheets>
  <externalReferences>
    <externalReference r:id="rId7"/>
  </externalReferences>
  <definedNames>
    <definedName name="_xlnm._FilterDatabase" localSheetId="0" hidden="1">STAFFS!$N$5:$T$5</definedName>
    <definedName name="_xlnm._FilterDatabase" localSheetId="2" hidden="1">'STAFF''S (NAPS)'!$A$4:$AX$17</definedName>
    <definedName name="_xlnm._FilterDatabase" localSheetId="1" hidden="1">'WORKER''S - ESI PF'!$S$4:$V$4</definedName>
    <definedName name="_xlnm._FilterDatabase" localSheetId="3" hidden="1">'WORKER''S (NAPS) (2)'!$A$4:$AX$10</definedName>
    <definedName name="_xlnm.Print_Area" localSheetId="0">STAFFS!$B$2:$AW$47</definedName>
    <definedName name="_xlnm.Print_Area" localSheetId="2">#REF!</definedName>
    <definedName name="_xlnm.Print_Area" localSheetId="1">'WORKER''S - ESI PF'!$B$74:$BH$76</definedName>
    <definedName name="_xlnm.Print_Area" localSheetId="3">#REF!</definedName>
    <definedName name="_xlnm.Print_Titles" localSheetId="0">STAFFS!$2:$5</definedName>
    <definedName name="_xlnm.Print_Titles" localSheetId="2">'STAFF''S (NAPS)'!#REF!</definedName>
    <definedName name="_xlnm.Print_Titles" localSheetId="1">'WORKER''S - ESI PF'!$1:$4</definedName>
    <definedName name="_xlnm.Print_Titles" localSheetId="3">'WORKER''S (NAPS) (2)'!#REF!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73" i="2" l="1"/>
  <c r="AW72" i="2"/>
  <c r="AW71" i="2"/>
  <c r="AW70" i="2"/>
  <c r="AW69" i="2"/>
  <c r="AW68" i="2"/>
  <c r="AW67" i="2"/>
  <c r="AW66" i="2"/>
  <c r="AW65" i="2"/>
  <c r="AW64" i="2"/>
  <c r="AW63" i="2"/>
  <c r="AW62" i="2"/>
  <c r="AW61" i="2"/>
  <c r="AW60" i="2"/>
  <c r="AW59" i="2"/>
  <c r="AW58" i="2"/>
  <c r="AW57" i="2"/>
  <c r="AW56" i="2"/>
  <c r="AW55" i="2"/>
  <c r="AW54" i="2"/>
  <c r="AW53" i="2"/>
  <c r="AW52" i="2"/>
  <c r="AW51" i="2"/>
  <c r="AW50" i="2"/>
  <c r="AW49" i="2"/>
  <c r="AW48" i="2"/>
  <c r="AW47" i="2"/>
  <c r="AW46" i="2"/>
  <c r="AW45" i="2"/>
  <c r="AW44" i="2"/>
  <c r="AW43" i="2"/>
  <c r="AW42" i="2"/>
  <c r="AW41" i="2"/>
  <c r="AW40" i="2"/>
  <c r="AW39" i="2"/>
  <c r="AW38" i="2"/>
  <c r="AW37" i="2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U73" i="2"/>
  <c r="AU72" i="2"/>
  <c r="AU71" i="2"/>
  <c r="AU70" i="2"/>
  <c r="AU69" i="2"/>
  <c r="AU68" i="2"/>
  <c r="AU67" i="2"/>
  <c r="AU66" i="2"/>
  <c r="AU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U52" i="2"/>
  <c r="AU51" i="2"/>
  <c r="AU50" i="2"/>
  <c r="AU49" i="2"/>
  <c r="AU48" i="2"/>
  <c r="AU47" i="2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V41" i="3"/>
  <c r="AW41" i="3" s="1"/>
  <c r="AK41" i="3"/>
  <c r="Y41" i="3"/>
  <c r="X41" i="3"/>
  <c r="W41" i="3"/>
  <c r="V41" i="3"/>
  <c r="AB41" i="3" s="1"/>
  <c r="U41" i="3"/>
  <c r="Q41" i="3"/>
  <c r="N41" i="3"/>
  <c r="T41" i="3" s="1"/>
  <c r="M41" i="3"/>
  <c r="AV40" i="3"/>
  <c r="AW40" i="3" s="1"/>
  <c r="AK40" i="3"/>
  <c r="Y40" i="3"/>
  <c r="X40" i="3"/>
  <c r="W40" i="3"/>
  <c r="V40" i="3"/>
  <c r="U40" i="3"/>
  <c r="Q40" i="3"/>
  <c r="N40" i="3"/>
  <c r="M40" i="3"/>
  <c r="Q45" i="3"/>
  <c r="Q44" i="3"/>
  <c r="Q43" i="3"/>
  <c r="Q42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2" i="3"/>
  <c r="N43" i="3"/>
  <c r="N44" i="3"/>
  <c r="N45" i="3"/>
  <c r="N6" i="3"/>
  <c r="AD32" i="8"/>
  <c r="AD31" i="8"/>
  <c r="AD30" i="8"/>
  <c r="AD29" i="8"/>
  <c r="AD28" i="8"/>
  <c r="AD27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D7" i="8"/>
  <c r="AD6" i="8"/>
  <c r="AD5" i="8"/>
  <c r="AX7" i="8"/>
  <c r="AR7" i="8"/>
  <c r="Y7" i="8"/>
  <c r="AF7" i="8" s="1"/>
  <c r="AC7" i="8"/>
  <c r="T7" i="8"/>
  <c r="R7" i="8"/>
  <c r="AW15" i="6"/>
  <c r="AX15" i="6" s="1"/>
  <c r="AR15" i="6"/>
  <c r="AC15" i="6"/>
  <c r="AB15" i="6"/>
  <c r="AA15" i="6"/>
  <c r="Z15" i="6"/>
  <c r="Y15" i="6"/>
  <c r="X15" i="6"/>
  <c r="U15" i="6"/>
  <c r="AJ15" i="6" s="1"/>
  <c r="T15" i="6"/>
  <c r="AK15" i="6" s="1"/>
  <c r="AW12" i="6"/>
  <c r="AX12" i="6" s="1"/>
  <c r="AR12" i="6"/>
  <c r="AC12" i="6"/>
  <c r="AB12" i="6"/>
  <c r="AA12" i="6"/>
  <c r="Z12" i="6"/>
  <c r="Y12" i="6"/>
  <c r="X12" i="6"/>
  <c r="T12" i="6"/>
  <c r="M15" i="6"/>
  <c r="R15" i="6" s="1"/>
  <c r="R12" i="6"/>
  <c r="AI12" i="6" s="1"/>
  <c r="L15" i="6"/>
  <c r="L12" i="6"/>
  <c r="AW14" i="6"/>
  <c r="AX14" i="6" s="1"/>
  <c r="AR14" i="6"/>
  <c r="AC14" i="6"/>
  <c r="AB14" i="6"/>
  <c r="AA14" i="6"/>
  <c r="Z14" i="6"/>
  <c r="Y14" i="6"/>
  <c r="X14" i="6"/>
  <c r="T14" i="6"/>
  <c r="AK14" i="6" s="1"/>
  <c r="M14" i="6"/>
  <c r="R14" i="6" s="1"/>
  <c r="L14" i="6"/>
  <c r="O10" i="6"/>
  <c r="R13" i="6"/>
  <c r="M11" i="6"/>
  <c r="R11" i="6" s="1"/>
  <c r="M10" i="6"/>
  <c r="AW13" i="6"/>
  <c r="AX13" i="6" s="1"/>
  <c r="AR13" i="6"/>
  <c r="AC13" i="6"/>
  <c r="AB13" i="6"/>
  <c r="AA13" i="6"/>
  <c r="Z13" i="6"/>
  <c r="Y13" i="6"/>
  <c r="X13" i="6"/>
  <c r="T13" i="6"/>
  <c r="U13" i="6" s="1"/>
  <c r="AJ13" i="6" s="1"/>
  <c r="L13" i="6"/>
  <c r="AW11" i="6"/>
  <c r="AX11" i="6" s="1"/>
  <c r="AR11" i="6"/>
  <c r="AC11" i="6"/>
  <c r="AB11" i="6"/>
  <c r="AA11" i="6"/>
  <c r="Z11" i="6"/>
  <c r="Y11" i="6"/>
  <c r="X11" i="6"/>
  <c r="T11" i="6"/>
  <c r="L11" i="6"/>
  <c r="AK8" i="7"/>
  <c r="AJ8" i="7"/>
  <c r="AD8" i="7"/>
  <c r="AK7" i="7"/>
  <c r="AJ7" i="7"/>
  <c r="AD7" i="7"/>
  <c r="AK6" i="7"/>
  <c r="AJ6" i="7"/>
  <c r="AD6" i="7"/>
  <c r="AD5" i="7"/>
  <c r="T40" i="3" l="1"/>
  <c r="AB40" i="3" s="1"/>
  <c r="AD41" i="3"/>
  <c r="AA41" i="3"/>
  <c r="AE41" i="3"/>
  <c r="AC41" i="3"/>
  <c r="AK7" i="8"/>
  <c r="Z7" i="8"/>
  <c r="AG7" i="8" s="1"/>
  <c r="U7" i="8"/>
  <c r="AJ7" i="8" s="1"/>
  <c r="V7" i="8"/>
  <c r="X7" i="8"/>
  <c r="AE7" i="8" s="1"/>
  <c r="AB7" i="8"/>
  <c r="AI7" i="8" s="1"/>
  <c r="AA7" i="8"/>
  <c r="AH7" i="8" s="1"/>
  <c r="AK12" i="6"/>
  <c r="U12" i="6"/>
  <c r="AJ12" i="6" s="1"/>
  <c r="AE15" i="6"/>
  <c r="AI15" i="6"/>
  <c r="AG12" i="6"/>
  <c r="AG15" i="6"/>
  <c r="AH12" i="6"/>
  <c r="AH15" i="6"/>
  <c r="AE12" i="6"/>
  <c r="AF12" i="6"/>
  <c r="AF15" i="6"/>
  <c r="V15" i="6"/>
  <c r="V12" i="6"/>
  <c r="AK13" i="6"/>
  <c r="AK11" i="6"/>
  <c r="U14" i="6"/>
  <c r="AJ14" i="6" s="1"/>
  <c r="AG13" i="6"/>
  <c r="V14" i="6"/>
  <c r="AF11" i="6"/>
  <c r="AH13" i="6"/>
  <c r="AI11" i="6"/>
  <c r="AG11" i="6"/>
  <c r="AE11" i="6"/>
  <c r="AH11" i="6"/>
  <c r="AG14" i="6"/>
  <c r="AI14" i="6"/>
  <c r="AE14" i="6"/>
  <c r="AF14" i="6"/>
  <c r="AH14" i="6"/>
  <c r="AE13" i="6"/>
  <c r="AI13" i="6"/>
  <c r="AF13" i="6"/>
  <c r="V13" i="6"/>
  <c r="U11" i="6"/>
  <c r="AJ11" i="6" s="1"/>
  <c r="V11" i="6"/>
  <c r="AC40" i="3" l="1"/>
  <c r="AE40" i="3"/>
  <c r="AD40" i="3"/>
  <c r="AA40" i="3"/>
  <c r="AF40" i="3" s="1"/>
  <c r="AF41" i="3"/>
  <c r="AL7" i="8"/>
  <c r="AL12" i="6"/>
  <c r="AS12" i="6" s="1"/>
  <c r="AL15" i="6"/>
  <c r="AS15" i="6" s="1"/>
  <c r="AL14" i="6"/>
  <c r="AS14" i="6" s="1"/>
  <c r="AL11" i="6"/>
  <c r="AS11" i="6" s="1"/>
  <c r="AL13" i="6"/>
  <c r="AS13" i="6" s="1"/>
  <c r="AH41" i="3" l="1"/>
  <c r="AG41" i="3"/>
  <c r="AI41" i="3" s="1"/>
  <c r="AQ41" i="3" s="1"/>
  <c r="AR41" i="3" s="1"/>
  <c r="AH40" i="3"/>
  <c r="AG40" i="3"/>
  <c r="AI40" i="3" s="1"/>
  <c r="AQ40" i="3" s="1"/>
  <c r="AR40" i="3" s="1"/>
  <c r="AS7" i="8"/>
  <c r="S33" i="8" l="1"/>
  <c r="T25" i="8"/>
  <c r="V25" i="8" s="1"/>
  <c r="R25" i="8"/>
  <c r="AX25" i="8"/>
  <c r="AR25" i="8"/>
  <c r="AB25" i="8"/>
  <c r="AI25" i="8" s="1"/>
  <c r="AC25" i="8"/>
  <c r="Y25" i="8"/>
  <c r="AF25" i="8" s="1"/>
  <c r="S8" i="7"/>
  <c r="S7" i="7"/>
  <c r="S6" i="7"/>
  <c r="S5" i="7"/>
  <c r="O8" i="7"/>
  <c r="O7" i="7"/>
  <c r="O6" i="7"/>
  <c r="O5" i="7"/>
  <c r="M8" i="7"/>
  <c r="M7" i="7"/>
  <c r="M6" i="7"/>
  <c r="M5" i="7"/>
  <c r="W62" i="2"/>
  <c r="AK25" i="8" l="1"/>
  <c r="U25" i="8"/>
  <c r="AJ25" i="8" s="1"/>
  <c r="Z25" i="8"/>
  <c r="AG25" i="8" s="1"/>
  <c r="AA25" i="8"/>
  <c r="AH25" i="8" s="1"/>
  <c r="X25" i="8"/>
  <c r="AE25" i="8" s="1"/>
  <c r="AL25" i="8" l="1"/>
  <c r="AS25" i="8" s="1"/>
  <c r="R73" i="2" l="1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AX23" i="8" l="1"/>
  <c r="AR23" i="8"/>
  <c r="AB23" i="8"/>
  <c r="AI23" i="8" s="1"/>
  <c r="AC23" i="8"/>
  <c r="T23" i="8"/>
  <c r="R23" i="8"/>
  <c r="T24" i="8"/>
  <c r="U24" i="8" s="1"/>
  <c r="T18" i="8"/>
  <c r="T17" i="8"/>
  <c r="T16" i="8"/>
  <c r="R24" i="8"/>
  <c r="R18" i="8"/>
  <c r="R17" i="8"/>
  <c r="R15" i="8"/>
  <c r="AX18" i="8"/>
  <c r="AR18" i="8"/>
  <c r="Y18" i="8"/>
  <c r="AF18" i="8" s="1"/>
  <c r="AC18" i="8"/>
  <c r="AX17" i="8"/>
  <c r="AR17" i="8"/>
  <c r="Y17" i="8"/>
  <c r="AF17" i="8" s="1"/>
  <c r="AC17" i="8"/>
  <c r="AX16" i="8"/>
  <c r="AR16" i="8"/>
  <c r="Y16" i="8"/>
  <c r="AF16" i="8" s="1"/>
  <c r="AC16" i="8"/>
  <c r="R16" i="8"/>
  <c r="AX15" i="8"/>
  <c r="AR15" i="8"/>
  <c r="Y15" i="8"/>
  <c r="AF15" i="8" s="1"/>
  <c r="AC15" i="8"/>
  <c r="T15" i="8"/>
  <c r="AX24" i="8"/>
  <c r="AR24" i="8"/>
  <c r="Y24" i="8"/>
  <c r="AF24" i="8" s="1"/>
  <c r="AC24" i="8"/>
  <c r="W25" i="7"/>
  <c r="AX7" i="7"/>
  <c r="AR7" i="7"/>
  <c r="Y7" i="7"/>
  <c r="AC7" i="7"/>
  <c r="AA7" i="7"/>
  <c r="Z7" i="7"/>
  <c r="R7" i="7"/>
  <c r="L7" i="7"/>
  <c r="AW15" i="5"/>
  <c r="AW14" i="5"/>
  <c r="AW13" i="5"/>
  <c r="AW12" i="5"/>
  <c r="AW11" i="5"/>
  <c r="AW10" i="5"/>
  <c r="AW9" i="5"/>
  <c r="AW8" i="5"/>
  <c r="R15" i="5"/>
  <c r="AG15" i="5" s="1"/>
  <c r="R14" i="5"/>
  <c r="AH14" i="5" s="1"/>
  <c r="R13" i="5"/>
  <c r="AH13" i="5" s="1"/>
  <c r="R12" i="5"/>
  <c r="AG12" i="5" s="1"/>
  <c r="R11" i="5"/>
  <c r="AG11" i="5" s="1"/>
  <c r="R10" i="5"/>
  <c r="R9" i="5"/>
  <c r="AG9" i="5" s="1"/>
  <c r="R8" i="5"/>
  <c r="AR15" i="5"/>
  <c r="AK15" i="5"/>
  <c r="AC15" i="5"/>
  <c r="AB15" i="5"/>
  <c r="AA15" i="5"/>
  <c r="Z15" i="5"/>
  <c r="Y15" i="5"/>
  <c r="X15" i="5"/>
  <c r="T15" i="5"/>
  <c r="V15" i="5" s="1"/>
  <c r="AR14" i="5"/>
  <c r="AK14" i="5"/>
  <c r="AC14" i="5"/>
  <c r="AB14" i="5"/>
  <c r="AA14" i="5"/>
  <c r="Z14" i="5"/>
  <c r="Y14" i="5"/>
  <c r="X14" i="5"/>
  <c r="T14" i="5"/>
  <c r="V14" i="5" s="1"/>
  <c r="AR13" i="5"/>
  <c r="AK13" i="5"/>
  <c r="AC13" i="5"/>
  <c r="AB13" i="5"/>
  <c r="AA13" i="5"/>
  <c r="Z13" i="5"/>
  <c r="Y13" i="5"/>
  <c r="X13" i="5"/>
  <c r="T13" i="5"/>
  <c r="V13" i="5" s="1"/>
  <c r="AR12" i="5"/>
  <c r="AK12" i="5"/>
  <c r="AC12" i="5"/>
  <c r="AB12" i="5"/>
  <c r="AA12" i="5"/>
  <c r="Z12" i="5"/>
  <c r="Y12" i="5"/>
  <c r="X12" i="5"/>
  <c r="T12" i="5"/>
  <c r="V12" i="5" s="1"/>
  <c r="AR11" i="5"/>
  <c r="AK11" i="5"/>
  <c r="AC11" i="5"/>
  <c r="AB11" i="5"/>
  <c r="AA11" i="5"/>
  <c r="Z11" i="5"/>
  <c r="Y11" i="5"/>
  <c r="X11" i="5"/>
  <c r="T11" i="5"/>
  <c r="V11" i="5" s="1"/>
  <c r="AR10" i="5"/>
  <c r="AK10" i="5"/>
  <c r="AC10" i="5"/>
  <c r="AB10" i="5"/>
  <c r="AA10" i="5"/>
  <c r="Z10" i="5"/>
  <c r="Y10" i="5"/>
  <c r="X10" i="5"/>
  <c r="T10" i="5"/>
  <c r="V10" i="5" s="1"/>
  <c r="AR9" i="5"/>
  <c r="AK9" i="5"/>
  <c r="AC9" i="5"/>
  <c r="AB9" i="5"/>
  <c r="AA9" i="5"/>
  <c r="Z9" i="5"/>
  <c r="Y9" i="5"/>
  <c r="X9" i="5"/>
  <c r="T9" i="5"/>
  <c r="V9" i="5" s="1"/>
  <c r="AR8" i="5"/>
  <c r="AK8" i="5"/>
  <c r="AC8" i="5"/>
  <c r="AB8" i="5"/>
  <c r="AA8" i="5"/>
  <c r="Z8" i="5"/>
  <c r="Y8" i="5"/>
  <c r="X8" i="5"/>
  <c r="T8" i="5"/>
  <c r="V8" i="5" s="1"/>
  <c r="AW7" i="5"/>
  <c r="AX7" i="5" s="1"/>
  <c r="AR7" i="5"/>
  <c r="AC7" i="5"/>
  <c r="AB7" i="5"/>
  <c r="AA7" i="5"/>
  <c r="AH7" i="5" s="1"/>
  <c r="Z7" i="5"/>
  <c r="Y7" i="5"/>
  <c r="X7" i="5"/>
  <c r="T7" i="5"/>
  <c r="AK7" i="5" s="1"/>
  <c r="R7" i="5"/>
  <c r="L7" i="5"/>
  <c r="AF7" i="7" l="1"/>
  <c r="AG7" i="7"/>
  <c r="AH7" i="7"/>
  <c r="Y23" i="8"/>
  <c r="AF23" i="8" s="1"/>
  <c r="Z23" i="8"/>
  <c r="AG23" i="8" s="1"/>
  <c r="AA23" i="8"/>
  <c r="AH23" i="8" s="1"/>
  <c r="X23" i="8"/>
  <c r="AE23" i="8" s="1"/>
  <c r="AK23" i="8"/>
  <c r="V23" i="8"/>
  <c r="U23" i="8"/>
  <c r="AJ23" i="8" s="1"/>
  <c r="Z18" i="8"/>
  <c r="AG18" i="8" s="1"/>
  <c r="Z16" i="8"/>
  <c r="AG16" i="8" s="1"/>
  <c r="Z15" i="8"/>
  <c r="AG15" i="8" s="1"/>
  <c r="AK18" i="8"/>
  <c r="V18" i="8"/>
  <c r="U18" i="8"/>
  <c r="AJ18" i="8" s="1"/>
  <c r="X18" i="8"/>
  <c r="AE18" i="8" s="1"/>
  <c r="AB18" i="8"/>
  <c r="AI18" i="8" s="1"/>
  <c r="AA18" i="8"/>
  <c r="AH18" i="8" s="1"/>
  <c r="AK17" i="8"/>
  <c r="V17" i="8"/>
  <c r="U17" i="8"/>
  <c r="AJ17" i="8" s="1"/>
  <c r="AA17" i="8"/>
  <c r="AH17" i="8" s="1"/>
  <c r="X17" i="8"/>
  <c r="AE17" i="8" s="1"/>
  <c r="AB17" i="8"/>
  <c r="AI17" i="8" s="1"/>
  <c r="Z17" i="8"/>
  <c r="AG17" i="8" s="1"/>
  <c r="AK16" i="8"/>
  <c r="U16" i="8"/>
  <c r="AJ16" i="8" s="1"/>
  <c r="V16" i="8"/>
  <c r="AA16" i="8"/>
  <c r="AH16" i="8" s="1"/>
  <c r="X16" i="8"/>
  <c r="AE16" i="8" s="1"/>
  <c r="AB16" i="8"/>
  <c r="AI16" i="8" s="1"/>
  <c r="AK15" i="8"/>
  <c r="V15" i="8"/>
  <c r="U15" i="8"/>
  <c r="AJ15" i="8" s="1"/>
  <c r="AA15" i="8"/>
  <c r="AH15" i="8" s="1"/>
  <c r="X15" i="8"/>
  <c r="AE15" i="8" s="1"/>
  <c r="AB15" i="8"/>
  <c r="AI15" i="8" s="1"/>
  <c r="AK24" i="8"/>
  <c r="AJ24" i="8"/>
  <c r="V24" i="8"/>
  <c r="AA24" i="8"/>
  <c r="AH24" i="8" s="1"/>
  <c r="X24" i="8"/>
  <c r="AE24" i="8" s="1"/>
  <c r="AB24" i="8"/>
  <c r="AI24" i="8" s="1"/>
  <c r="Z24" i="8"/>
  <c r="AG24" i="8" s="1"/>
  <c r="X7" i="7"/>
  <c r="AE7" i="7" s="1"/>
  <c r="AB7" i="7"/>
  <c r="AI7" i="7" s="1"/>
  <c r="T7" i="7"/>
  <c r="AE9" i="5"/>
  <c r="AE11" i="5"/>
  <c r="AE15" i="5"/>
  <c r="AI9" i="5"/>
  <c r="AI13" i="5"/>
  <c r="AI11" i="5"/>
  <c r="AE13" i="5"/>
  <c r="AI15" i="5"/>
  <c r="AH8" i="5"/>
  <c r="AF9" i="5"/>
  <c r="AF11" i="5"/>
  <c r="AF13" i="5"/>
  <c r="AF15" i="5"/>
  <c r="AI8" i="5"/>
  <c r="AI10" i="5"/>
  <c r="AE8" i="5"/>
  <c r="AE10" i="5"/>
  <c r="AE12" i="5"/>
  <c r="AI12" i="5"/>
  <c r="AE14" i="5"/>
  <c r="AI14" i="5"/>
  <c r="AF8" i="5"/>
  <c r="AF10" i="5"/>
  <c r="AF12" i="5"/>
  <c r="AF14" i="5"/>
  <c r="AH15" i="5"/>
  <c r="AG10" i="5"/>
  <c r="AG8" i="5"/>
  <c r="AG13" i="5"/>
  <c r="AG14" i="5"/>
  <c r="AH9" i="5"/>
  <c r="AH10" i="5"/>
  <c r="AH11" i="5"/>
  <c r="AH12" i="5"/>
  <c r="U9" i="5"/>
  <c r="AJ9" i="5" s="1"/>
  <c r="U10" i="5"/>
  <c r="AJ10" i="5" s="1"/>
  <c r="U11" i="5"/>
  <c r="AJ11" i="5" s="1"/>
  <c r="U12" i="5"/>
  <c r="AJ12" i="5" s="1"/>
  <c r="U13" i="5"/>
  <c r="AJ13" i="5" s="1"/>
  <c r="U14" i="5"/>
  <c r="AJ14" i="5" s="1"/>
  <c r="U15" i="5"/>
  <c r="AJ15" i="5" s="1"/>
  <c r="U8" i="5"/>
  <c r="AJ8" i="5" s="1"/>
  <c r="AE7" i="5"/>
  <c r="AI7" i="5"/>
  <c r="AF7" i="5"/>
  <c r="AG7" i="5"/>
  <c r="V7" i="5"/>
  <c r="U7" i="5"/>
  <c r="AJ7" i="5" s="1"/>
  <c r="AL23" i="8" l="1"/>
  <c r="AL18" i="8"/>
  <c r="AL17" i="8"/>
  <c r="AL16" i="8"/>
  <c r="AL15" i="8"/>
  <c r="AL24" i="8"/>
  <c r="V7" i="7"/>
  <c r="U7" i="7"/>
  <c r="AL10" i="5"/>
  <c r="AS10" i="5" s="1"/>
  <c r="AL9" i="5"/>
  <c r="AS9" i="5" s="1"/>
  <c r="AL15" i="5"/>
  <c r="AS15" i="5" s="1"/>
  <c r="AL11" i="5"/>
  <c r="AS11" i="5" s="1"/>
  <c r="AL8" i="5"/>
  <c r="AS8" i="5" s="1"/>
  <c r="AL12" i="5"/>
  <c r="AS12" i="5" s="1"/>
  <c r="AL14" i="5"/>
  <c r="AS14" i="5" s="1"/>
  <c r="AL13" i="5"/>
  <c r="AS13" i="5" s="1"/>
  <c r="AL7" i="5"/>
  <c r="AS7" i="5" s="1"/>
  <c r="AL7" i="7" l="1"/>
  <c r="AS7" i="7" s="1"/>
  <c r="AS24" i="8"/>
  <c r="AS23" i="8"/>
  <c r="AS15" i="8"/>
  <c r="AS16" i="8"/>
  <c r="AS17" i="8"/>
  <c r="AS18" i="8"/>
  <c r="AL46" i="3" l="1"/>
  <c r="AJ46" i="3" l="1"/>
  <c r="AW74" i="2"/>
  <c r="AU74" i="2"/>
  <c r="AX14" i="8" l="1"/>
  <c r="AR14" i="8"/>
  <c r="Y14" i="8"/>
  <c r="AF14" i="8" s="1"/>
  <c r="AC14" i="8"/>
  <c r="R14" i="8"/>
  <c r="AX13" i="8"/>
  <c r="AR13" i="8"/>
  <c r="Y13" i="8"/>
  <c r="AF13" i="8" s="1"/>
  <c r="AC13" i="8"/>
  <c r="R13" i="8"/>
  <c r="Z14" i="8" l="1"/>
  <c r="AG14" i="8" s="1"/>
  <c r="AA14" i="8"/>
  <c r="AH14" i="8" s="1"/>
  <c r="X13" i="8"/>
  <c r="AE13" i="8" s="1"/>
  <c r="AA13" i="8"/>
  <c r="AH13" i="8" s="1"/>
  <c r="Z13" i="8"/>
  <c r="AG13" i="8" s="1"/>
  <c r="AB13" i="8"/>
  <c r="AI13" i="8" s="1"/>
  <c r="X14" i="8"/>
  <c r="AE14" i="8" s="1"/>
  <c r="AB14" i="8"/>
  <c r="AI14" i="8" s="1"/>
  <c r="T14" i="8"/>
  <c r="T13" i="8"/>
  <c r="U13" i="8" s="1"/>
  <c r="AJ13" i="8" s="1"/>
  <c r="AK14" i="8" l="1"/>
  <c r="V14" i="8"/>
  <c r="U14" i="8"/>
  <c r="AJ14" i="8" s="1"/>
  <c r="AK13" i="8"/>
  <c r="AL13" i="8" s="1"/>
  <c r="V13" i="8"/>
  <c r="AS13" i="8" l="1"/>
  <c r="AL14" i="8"/>
  <c r="T39" i="8"/>
  <c r="T38" i="8"/>
  <c r="R19" i="8"/>
  <c r="AS14" i="8" l="1"/>
  <c r="AX31" i="8"/>
  <c r="AR31" i="8"/>
  <c r="Y31" i="8"/>
  <c r="AF31" i="8" s="1"/>
  <c r="AC31" i="8"/>
  <c r="T31" i="8"/>
  <c r="U31" i="8" s="1"/>
  <c r="R31" i="8"/>
  <c r="L31" i="8"/>
  <c r="Z31" i="8" l="1"/>
  <c r="AG31" i="8" s="1"/>
  <c r="AA31" i="8"/>
  <c r="AH31" i="8" s="1"/>
  <c r="V31" i="8"/>
  <c r="AJ31" i="8"/>
  <c r="AB31" i="8"/>
  <c r="AI31" i="8" s="1"/>
  <c r="X31" i="8"/>
  <c r="AE31" i="8" s="1"/>
  <c r="AK31" i="8"/>
  <c r="AL31" i="8" l="1"/>
  <c r="AS31" i="8" l="1"/>
  <c r="AX22" i="8" l="1"/>
  <c r="AR22" i="8"/>
  <c r="Y22" i="8"/>
  <c r="AF22" i="8" s="1"/>
  <c r="AC22" i="8"/>
  <c r="T22" i="8"/>
  <c r="R22" i="8"/>
  <c r="L22" i="8"/>
  <c r="AX21" i="8"/>
  <c r="AR21" i="8"/>
  <c r="Y21" i="8"/>
  <c r="AF21" i="8" s="1"/>
  <c r="AC21" i="8"/>
  <c r="T21" i="8"/>
  <c r="U21" i="8" s="1"/>
  <c r="R21" i="8"/>
  <c r="L21" i="8"/>
  <c r="AA21" i="8" l="1"/>
  <c r="AH21" i="8" s="1"/>
  <c r="Z21" i="8"/>
  <c r="AG21" i="8" s="1"/>
  <c r="AK22" i="8"/>
  <c r="U22" i="8"/>
  <c r="AJ22" i="8" s="1"/>
  <c r="Z22" i="8"/>
  <c r="AG22" i="8" s="1"/>
  <c r="AJ21" i="8"/>
  <c r="V22" i="8"/>
  <c r="V21" i="8"/>
  <c r="AA22" i="8"/>
  <c r="AH22" i="8" s="1"/>
  <c r="X22" i="8"/>
  <c r="AE22" i="8" s="1"/>
  <c r="AB22" i="8"/>
  <c r="AI22" i="8" s="1"/>
  <c r="X21" i="8"/>
  <c r="AE21" i="8" s="1"/>
  <c r="AB21" i="8"/>
  <c r="AI21" i="8" s="1"/>
  <c r="AK21" i="8"/>
  <c r="AL21" i="8" l="1"/>
  <c r="AL22" i="8"/>
  <c r="AS22" i="8" l="1"/>
  <c r="AS21" i="8"/>
  <c r="AX12" i="8"/>
  <c r="AR12" i="8"/>
  <c r="Y12" i="8"/>
  <c r="AF12" i="8" s="1"/>
  <c r="AC12" i="8"/>
  <c r="AA12" i="8" l="1"/>
  <c r="AH12" i="8" s="1"/>
  <c r="R12" i="8"/>
  <c r="Z12" i="8"/>
  <c r="AG12" i="8" s="1"/>
  <c r="X12" i="8"/>
  <c r="AE12" i="8" s="1"/>
  <c r="AB12" i="8"/>
  <c r="AI12" i="8" s="1"/>
  <c r="T12" i="8"/>
  <c r="AK12" i="8" l="1"/>
  <c r="V12" i="8"/>
  <c r="U12" i="8"/>
  <c r="AJ12" i="8" s="1"/>
  <c r="AL12" i="8" l="1"/>
  <c r="AS12" i="8" l="1"/>
  <c r="U68" i="2" l="1"/>
  <c r="U66" i="2"/>
  <c r="U64" i="2"/>
  <c r="U62" i="2"/>
  <c r="R32" i="8"/>
  <c r="R30" i="8"/>
  <c r="R29" i="8"/>
  <c r="R28" i="8"/>
  <c r="R27" i="8"/>
  <c r="R26" i="8"/>
  <c r="AA11" i="8"/>
  <c r="AH11" i="8" s="1"/>
  <c r="L12" i="8"/>
  <c r="L11" i="8"/>
  <c r="AX11" i="8"/>
  <c r="AR11" i="8"/>
  <c r="AC11" i="8"/>
  <c r="R20" i="8"/>
  <c r="R11" i="8"/>
  <c r="R10" i="8"/>
  <c r="R9" i="8"/>
  <c r="R8" i="8"/>
  <c r="R6" i="8"/>
  <c r="U69" i="2"/>
  <c r="U67" i="2"/>
  <c r="U65" i="2"/>
  <c r="U63" i="2"/>
  <c r="Y11" i="8" l="1"/>
  <c r="AF11" i="8" s="1"/>
  <c r="T11" i="8"/>
  <c r="AK11" i="8" s="1"/>
  <c r="Z11" i="8"/>
  <c r="AG11" i="8" s="1"/>
  <c r="X11" i="8"/>
  <c r="AE11" i="8" s="1"/>
  <c r="AB11" i="8"/>
  <c r="AI11" i="8" s="1"/>
  <c r="V11" i="8" l="1"/>
  <c r="U11" i="8"/>
  <c r="AJ11" i="8" s="1"/>
  <c r="AL11" i="8" s="1"/>
  <c r="AS11" i="8" l="1"/>
  <c r="AG73" i="2" l="1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BG73" i="2"/>
  <c r="AD73" i="2"/>
  <c r="AF73" i="2"/>
  <c r="AE73" i="2"/>
  <c r="AC73" i="2"/>
  <c r="AA73" i="2"/>
  <c r="U73" i="2"/>
  <c r="U72" i="2"/>
  <c r="U71" i="2"/>
  <c r="U70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BH73" i="2" l="1"/>
  <c r="W73" i="2"/>
  <c r="AB73" i="2"/>
  <c r="AI73" i="2" l="1"/>
  <c r="AL73" i="2"/>
  <c r="AH73" i="2"/>
  <c r="AK73" i="2"/>
  <c r="AJ73" i="2"/>
  <c r="Y73" i="2"/>
  <c r="AN73" i="2"/>
  <c r="X73" i="2"/>
  <c r="AM73" i="2" s="1"/>
  <c r="AO73" i="2" l="1"/>
  <c r="AQ73" i="2" l="1"/>
  <c r="AT73" i="2" s="1"/>
  <c r="AR73" i="2"/>
  <c r="AV73" i="2" s="1"/>
  <c r="AP73" i="2"/>
  <c r="BB73" i="2" l="1"/>
  <c r="BC73" i="2" s="1"/>
  <c r="AW10" i="6"/>
  <c r="AX10" i="6" s="1"/>
  <c r="AR10" i="6"/>
  <c r="AC10" i="6"/>
  <c r="AB10" i="6"/>
  <c r="AA10" i="6"/>
  <c r="Z10" i="6"/>
  <c r="Y10" i="6"/>
  <c r="X10" i="6"/>
  <c r="T10" i="6"/>
  <c r="L10" i="6"/>
  <c r="Q46" i="3"/>
  <c r="P46" i="3"/>
  <c r="N46" i="3"/>
  <c r="O46" i="3"/>
  <c r="W37" i="8"/>
  <c r="AV33" i="8"/>
  <c r="AU33" i="8"/>
  <c r="AT33" i="8"/>
  <c r="AQ33" i="8"/>
  <c r="AP33" i="8"/>
  <c r="AO33" i="8"/>
  <c r="AN33" i="8"/>
  <c r="AM33" i="8"/>
  <c r="W33" i="8"/>
  <c r="Q33" i="8"/>
  <c r="P33" i="8"/>
  <c r="N33" i="8"/>
  <c r="AX32" i="8"/>
  <c r="AR32" i="8"/>
  <c r="Z32" i="8"/>
  <c r="AG32" i="8" s="1"/>
  <c r="AC32" i="8"/>
  <c r="T32" i="8"/>
  <c r="L32" i="8"/>
  <c r="AX30" i="8"/>
  <c r="AR30" i="8"/>
  <c r="Y30" i="8"/>
  <c r="AF30" i="8" s="1"/>
  <c r="AC30" i="8"/>
  <c r="T30" i="8"/>
  <c r="V30" i="8" s="1"/>
  <c r="L30" i="8"/>
  <c r="AX29" i="8"/>
  <c r="AR29" i="8"/>
  <c r="AB29" i="8"/>
  <c r="AI29" i="8" s="1"/>
  <c r="AC29" i="8"/>
  <c r="T29" i="8"/>
  <c r="U29" i="8" s="1"/>
  <c r="L29" i="8"/>
  <c r="AX28" i="8"/>
  <c r="AR28" i="8"/>
  <c r="AA28" i="8"/>
  <c r="AH28" i="8" s="1"/>
  <c r="AC28" i="8"/>
  <c r="T28" i="8"/>
  <c r="L28" i="8"/>
  <c r="AX27" i="8"/>
  <c r="AR27" i="8"/>
  <c r="Z27" i="8"/>
  <c r="AG27" i="8" s="1"/>
  <c r="AC27" i="8"/>
  <c r="T27" i="8"/>
  <c r="U27" i="8" s="1"/>
  <c r="L27" i="8"/>
  <c r="AX26" i="8"/>
  <c r="AR26" i="8"/>
  <c r="AC26" i="8"/>
  <c r="AB26" i="8"/>
  <c r="AI26" i="8" s="1"/>
  <c r="AA26" i="8"/>
  <c r="AH26" i="8" s="1"/>
  <c r="Z26" i="8"/>
  <c r="AG26" i="8" s="1"/>
  <c r="Y26" i="8"/>
  <c r="AF26" i="8" s="1"/>
  <c r="X26" i="8"/>
  <c r="AE26" i="8" s="1"/>
  <c r="T26" i="8"/>
  <c r="V26" i="8" s="1"/>
  <c r="L26" i="8"/>
  <c r="AX20" i="8"/>
  <c r="AR20" i="8"/>
  <c r="Z20" i="8"/>
  <c r="AG20" i="8" s="1"/>
  <c r="AC20" i="8"/>
  <c r="T20" i="8"/>
  <c r="L20" i="8"/>
  <c r="AX19" i="8"/>
  <c r="AR19" i="8"/>
  <c r="AB19" i="8"/>
  <c r="AI19" i="8" s="1"/>
  <c r="AC19" i="8"/>
  <c r="L19" i="8"/>
  <c r="AX10" i="8"/>
  <c r="AR10" i="8"/>
  <c r="AA10" i="8"/>
  <c r="AH10" i="8" s="1"/>
  <c r="AC10" i="8"/>
  <c r="L10" i="8"/>
  <c r="AX9" i="8"/>
  <c r="AR9" i="8"/>
  <c r="AA9" i="8"/>
  <c r="AH9" i="8" s="1"/>
  <c r="AC9" i="8"/>
  <c r="T9" i="8"/>
  <c r="U9" i="8" s="1"/>
  <c r="L9" i="8"/>
  <c r="AX8" i="8"/>
  <c r="AR8" i="8"/>
  <c r="AB8" i="8"/>
  <c r="AI8" i="8" s="1"/>
  <c r="AC8" i="8"/>
  <c r="L8" i="8"/>
  <c r="AX6" i="8"/>
  <c r="AR6" i="8"/>
  <c r="AB6" i="8"/>
  <c r="AI6" i="8" s="1"/>
  <c r="AC6" i="8"/>
  <c r="T6" i="8"/>
  <c r="L6" i="8"/>
  <c r="AR5" i="8"/>
  <c r="AB5" i="8"/>
  <c r="AI5" i="8" s="1"/>
  <c r="AC5" i="8"/>
  <c r="L5" i="8"/>
  <c r="AK10" i="6" l="1"/>
  <c r="U10" i="6"/>
  <c r="AJ10" i="6" s="1"/>
  <c r="V10" i="6"/>
  <c r="Z5" i="8"/>
  <c r="AG5" i="8" s="1"/>
  <c r="AK32" i="8"/>
  <c r="Y6" i="8"/>
  <c r="AF6" i="8" s="1"/>
  <c r="X10" i="8"/>
  <c r="AE10" i="8" s="1"/>
  <c r="Z19" i="8"/>
  <c r="AG19" i="8" s="1"/>
  <c r="Y28" i="8"/>
  <c r="AF28" i="8" s="1"/>
  <c r="Y9" i="8"/>
  <c r="AF9" i="8" s="1"/>
  <c r="AK26" i="8"/>
  <c r="Z9" i="8"/>
  <c r="AG9" i="8" s="1"/>
  <c r="Y10" i="8"/>
  <c r="AF10" i="8" s="1"/>
  <c r="AB10" i="8"/>
  <c r="AI10" i="8" s="1"/>
  <c r="R5" i="8"/>
  <c r="Y19" i="8"/>
  <c r="AF19" i="8" s="1"/>
  <c r="Z28" i="8"/>
  <c r="AG28" i="8" s="1"/>
  <c r="Y8" i="8"/>
  <c r="AF8" i="8" s="1"/>
  <c r="AB9" i="8"/>
  <c r="AI9" i="8" s="1"/>
  <c r="AA19" i="8"/>
  <c r="AH19" i="8" s="1"/>
  <c r="AK20" i="8"/>
  <c r="AK28" i="8"/>
  <c r="AB28" i="8"/>
  <c r="AI28" i="8" s="1"/>
  <c r="AJ29" i="8"/>
  <c r="X30" i="8"/>
  <c r="AE30" i="8" s="1"/>
  <c r="Y5" i="8"/>
  <c r="AF5" i="8" s="1"/>
  <c r="Z8" i="8"/>
  <c r="AG8" i="8" s="1"/>
  <c r="X9" i="8"/>
  <c r="AE9" i="8" s="1"/>
  <c r="X19" i="8"/>
  <c r="AE19" i="8" s="1"/>
  <c r="AJ27" i="8"/>
  <c r="X28" i="8"/>
  <c r="AE28" i="8" s="1"/>
  <c r="Z30" i="8"/>
  <c r="AG30" i="8" s="1"/>
  <c r="U32" i="8"/>
  <c r="AJ32" i="8" s="1"/>
  <c r="Z6" i="8"/>
  <c r="AG6" i="8" s="1"/>
  <c r="AA6" i="8"/>
  <c r="AH6" i="8" s="1"/>
  <c r="Z29" i="8"/>
  <c r="AG29" i="8" s="1"/>
  <c r="U30" i="8"/>
  <c r="AJ30" i="8" s="1"/>
  <c r="AA30" i="8"/>
  <c r="AH30" i="8" s="1"/>
  <c r="Y29" i="8"/>
  <c r="AF29" i="8" s="1"/>
  <c r="AB30" i="8"/>
  <c r="AI30" i="8" s="1"/>
  <c r="U6" i="8"/>
  <c r="AJ6" i="8" s="1"/>
  <c r="V6" i="8"/>
  <c r="M33" i="8"/>
  <c r="AA5" i="8"/>
  <c r="AH5" i="8" s="1"/>
  <c r="AK6" i="8"/>
  <c r="AA8" i="8"/>
  <c r="AH8" i="8" s="1"/>
  <c r="AJ9" i="8"/>
  <c r="U20" i="8"/>
  <c r="AJ20" i="8" s="1"/>
  <c r="V29" i="8"/>
  <c r="AA29" i="8"/>
  <c r="AH29" i="8" s="1"/>
  <c r="AK27" i="8"/>
  <c r="X5" i="8"/>
  <c r="AE5" i="8" s="1"/>
  <c r="X8" i="8"/>
  <c r="AE8" i="8" s="1"/>
  <c r="V9" i="8"/>
  <c r="Z10" i="8"/>
  <c r="AG10" i="8" s="1"/>
  <c r="V20" i="8"/>
  <c r="U26" i="8"/>
  <c r="AJ26" i="8" s="1"/>
  <c r="X29" i="8"/>
  <c r="AE29" i="8" s="1"/>
  <c r="AK30" i="8"/>
  <c r="T5" i="8"/>
  <c r="U5" i="8" s="1"/>
  <c r="AC33" i="8"/>
  <c r="AW33" i="8"/>
  <c r="O33" i="8"/>
  <c r="AD33" i="8"/>
  <c r="AX5" i="8"/>
  <c r="AX33" i="8" s="1"/>
  <c r="AR33" i="8"/>
  <c r="T10" i="8"/>
  <c r="U10" i="8" s="1"/>
  <c r="AJ10" i="8" s="1"/>
  <c r="T8" i="8"/>
  <c r="U8" i="8" s="1"/>
  <c r="AJ8" i="8" s="1"/>
  <c r="AK9" i="8"/>
  <c r="Y20" i="8"/>
  <c r="AF20" i="8" s="1"/>
  <c r="AB20" i="8"/>
  <c r="AI20" i="8" s="1"/>
  <c r="X20" i="8"/>
  <c r="AE20" i="8" s="1"/>
  <c r="AA20" i="8"/>
  <c r="AH20" i="8" s="1"/>
  <c r="X6" i="8"/>
  <c r="AE6" i="8" s="1"/>
  <c r="Y27" i="8"/>
  <c r="AF27" i="8" s="1"/>
  <c r="AB27" i="8"/>
  <c r="AI27" i="8" s="1"/>
  <c r="X27" i="8"/>
  <c r="AE27" i="8" s="1"/>
  <c r="AA27" i="8"/>
  <c r="AH27" i="8" s="1"/>
  <c r="V28" i="8"/>
  <c r="U28" i="8"/>
  <c r="AJ28" i="8" s="1"/>
  <c r="Y32" i="8"/>
  <c r="AF32" i="8" s="1"/>
  <c r="AB32" i="8"/>
  <c r="AI32" i="8" s="1"/>
  <c r="X32" i="8"/>
  <c r="AE32" i="8" s="1"/>
  <c r="AA32" i="8"/>
  <c r="AH32" i="8" s="1"/>
  <c r="V27" i="8"/>
  <c r="AK29" i="8"/>
  <c r="V32" i="8"/>
  <c r="T19" i="8"/>
  <c r="U19" i="8" s="1"/>
  <c r="AJ19" i="8" s="1"/>
  <c r="AL26" i="8" l="1"/>
  <c r="AL29" i="8"/>
  <c r="AL9" i="8"/>
  <c r="AL30" i="8"/>
  <c r="AL28" i="8"/>
  <c r="R33" i="8"/>
  <c r="AB33" i="8"/>
  <c r="AL32" i="8"/>
  <c r="AL20" i="8"/>
  <c r="Z33" i="8"/>
  <c r="X33" i="8"/>
  <c r="AK8" i="8"/>
  <c r="V8" i="8"/>
  <c r="V10" i="8"/>
  <c r="AK10" i="8"/>
  <c r="AJ5" i="8"/>
  <c r="Y33" i="8"/>
  <c r="AK19" i="8"/>
  <c r="V19" i="8"/>
  <c r="AL27" i="8"/>
  <c r="AA33" i="8"/>
  <c r="V5" i="8"/>
  <c r="AK5" i="8"/>
  <c r="T33" i="8"/>
  <c r="AS32" i="8" l="1"/>
  <c r="AS28" i="8"/>
  <c r="AS29" i="8"/>
  <c r="AS27" i="8"/>
  <c r="AS30" i="8"/>
  <c r="AS20" i="8"/>
  <c r="AS9" i="8"/>
  <c r="AS26" i="8"/>
  <c r="AL19" i="8"/>
  <c r="AL6" i="8"/>
  <c r="AL8" i="8"/>
  <c r="AE33" i="8"/>
  <c r="AL10" i="8"/>
  <c r="AH33" i="8"/>
  <c r="AF33" i="8"/>
  <c r="AI33" i="8"/>
  <c r="AG33" i="8"/>
  <c r="U33" i="8"/>
  <c r="AJ33" i="8"/>
  <c r="AK33" i="8"/>
  <c r="V33" i="8"/>
  <c r="AL5" i="8"/>
  <c r="AS5" i="8" l="1"/>
  <c r="AS8" i="8"/>
  <c r="AS19" i="8"/>
  <c r="AS10" i="8"/>
  <c r="AS6" i="8"/>
  <c r="AL33" i="8"/>
  <c r="AS33" i="8" l="1"/>
  <c r="X5" i="7"/>
  <c r="AW8" i="7" l="1"/>
  <c r="AX8" i="7" s="1"/>
  <c r="AW6" i="7"/>
  <c r="AX6" i="7" s="1"/>
  <c r="T8" i="7"/>
  <c r="U8" i="7" s="1"/>
  <c r="T6" i="7"/>
  <c r="T5" i="7"/>
  <c r="R6" i="7"/>
  <c r="AU9" i="7"/>
  <c r="AQ9" i="7"/>
  <c r="AP9" i="7"/>
  <c r="AN9" i="7"/>
  <c r="AM9" i="7"/>
  <c r="AD9" i="7"/>
  <c r="W9" i="7"/>
  <c r="Q9" i="7"/>
  <c r="P9" i="7"/>
  <c r="N9" i="7"/>
  <c r="AR8" i="7"/>
  <c r="AC8" i="7"/>
  <c r="AB8" i="7"/>
  <c r="AA8" i="7"/>
  <c r="Z8" i="7"/>
  <c r="Y8" i="7"/>
  <c r="X8" i="7"/>
  <c r="L8" i="7"/>
  <c r="AR6" i="7"/>
  <c r="AC6" i="7"/>
  <c r="AB6" i="7"/>
  <c r="AI6" i="7" s="1"/>
  <c r="AA6" i="7"/>
  <c r="AH6" i="7" s="1"/>
  <c r="Z6" i="7"/>
  <c r="Y6" i="7"/>
  <c r="AF6" i="7" s="1"/>
  <c r="X6" i="7"/>
  <c r="AE6" i="7" s="1"/>
  <c r="L6" i="7"/>
  <c r="AR5" i="7"/>
  <c r="AC5" i="7"/>
  <c r="AB5" i="7"/>
  <c r="AA5" i="7"/>
  <c r="Z5" i="7"/>
  <c r="Y5" i="7"/>
  <c r="L5" i="7"/>
  <c r="BG72" i="2"/>
  <c r="W72" i="2"/>
  <c r="AF72" i="2"/>
  <c r="AG6" i="7" l="1"/>
  <c r="BH72" i="2"/>
  <c r="R8" i="7"/>
  <c r="AI8" i="7" s="1"/>
  <c r="AB9" i="7"/>
  <c r="Z9" i="7"/>
  <c r="AK5" i="7"/>
  <c r="AC9" i="7"/>
  <c r="AR9" i="7"/>
  <c r="Y9" i="7"/>
  <c r="AV9" i="7"/>
  <c r="S9" i="7"/>
  <c r="O9" i="7"/>
  <c r="M9" i="7"/>
  <c r="R5" i="7"/>
  <c r="X9" i="7"/>
  <c r="AA9" i="7"/>
  <c r="AW9" i="7"/>
  <c r="V8" i="7"/>
  <c r="AX9" i="7"/>
  <c r="U5" i="7"/>
  <c r="AJ5" i="7" s="1"/>
  <c r="U6" i="7"/>
  <c r="V5" i="7"/>
  <c r="V6" i="7"/>
  <c r="T9" i="7"/>
  <c r="AN72" i="2"/>
  <c r="X72" i="2"/>
  <c r="AM72" i="2" s="1"/>
  <c r="AC72" i="2"/>
  <c r="Y72" i="2"/>
  <c r="AD72" i="2"/>
  <c r="AA72" i="2"/>
  <c r="AE72" i="2"/>
  <c r="AB72" i="2"/>
  <c r="AH8" i="7" l="1"/>
  <c r="AE8" i="7"/>
  <c r="AI5" i="7"/>
  <c r="AE5" i="7"/>
  <c r="AG5" i="7"/>
  <c r="AH5" i="7"/>
  <c r="AF5" i="7"/>
  <c r="AF8" i="7"/>
  <c r="AG8" i="7"/>
  <c r="AJ72" i="2"/>
  <c r="AI72" i="2"/>
  <c r="AL72" i="2"/>
  <c r="AH72" i="2"/>
  <c r="AK72" i="2"/>
  <c r="R9" i="7"/>
  <c r="AL6" i="7"/>
  <c r="AS6" i="7" s="1"/>
  <c r="AK9" i="7"/>
  <c r="V9" i="7"/>
  <c r="U9" i="7"/>
  <c r="AJ9" i="7"/>
  <c r="AG9" i="7" l="1"/>
  <c r="AL8" i="7"/>
  <c r="AS8" i="7" s="1"/>
  <c r="AE9" i="7"/>
  <c r="AI9" i="7"/>
  <c r="AF9" i="7"/>
  <c r="AH9" i="7"/>
  <c r="AO72" i="2"/>
  <c r="AL5" i="7"/>
  <c r="AS5" i="7" s="1"/>
  <c r="AQ72" i="2" l="1"/>
  <c r="AT72" i="2" s="1"/>
  <c r="AS9" i="7"/>
  <c r="AR72" i="2"/>
  <c r="AV72" i="2" s="1"/>
  <c r="AP72" i="2"/>
  <c r="AL9" i="7"/>
  <c r="BB72" i="2" l="1"/>
  <c r="BC72" i="2" s="1"/>
  <c r="AU46" i="3"/>
  <c r="AV14" i="3"/>
  <c r="AW14" i="3" s="1"/>
  <c r="AV18" i="3"/>
  <c r="AW18" i="3" s="1"/>
  <c r="AV22" i="3"/>
  <c r="AW22" i="3" s="1"/>
  <c r="AV26" i="3"/>
  <c r="AW26" i="3" s="1"/>
  <c r="AV29" i="3"/>
  <c r="AW29" i="3" s="1"/>
  <c r="AV36" i="3"/>
  <c r="AW36" i="3" s="1"/>
  <c r="AV39" i="3"/>
  <c r="AW39" i="3" s="1"/>
  <c r="AV45" i="3"/>
  <c r="AW45" i="3" s="1"/>
  <c r="AV42" i="3"/>
  <c r="AW42" i="3" s="1"/>
  <c r="AV38" i="3"/>
  <c r="AW38" i="3" s="1"/>
  <c r="AV37" i="3"/>
  <c r="AW37" i="3" s="1"/>
  <c r="AV34" i="3"/>
  <c r="AW34" i="3" s="1"/>
  <c r="AV33" i="3"/>
  <c r="AW33" i="3" s="1"/>
  <c r="AV31" i="3"/>
  <c r="AV30" i="3"/>
  <c r="AW30" i="3" s="1"/>
  <c r="AV28" i="3"/>
  <c r="AW28" i="3" s="1"/>
  <c r="AV27" i="3"/>
  <c r="AW27" i="3" s="1"/>
  <c r="AV24" i="3"/>
  <c r="AW24" i="3" s="1"/>
  <c r="AV23" i="3"/>
  <c r="AW23" i="3" s="1"/>
  <c r="AV21" i="3"/>
  <c r="AW21" i="3" s="1"/>
  <c r="AV20" i="3"/>
  <c r="AW20" i="3" s="1"/>
  <c r="AV19" i="3"/>
  <c r="AW19" i="3" s="1"/>
  <c r="AV17" i="3"/>
  <c r="AW17" i="3" s="1"/>
  <c r="AV16" i="3"/>
  <c r="AW16" i="3" s="1"/>
  <c r="AV15" i="3"/>
  <c r="AW15" i="3" s="1"/>
  <c r="AV12" i="3"/>
  <c r="AW12" i="3" s="1"/>
  <c r="AV11" i="3"/>
  <c r="AW11" i="3" s="1"/>
  <c r="AV9" i="3"/>
  <c r="AW9" i="3" s="1"/>
  <c r="AV8" i="3"/>
  <c r="AW8" i="3" s="1"/>
  <c r="AV7" i="3"/>
  <c r="AW7" i="3" s="1"/>
  <c r="AV6" i="3"/>
  <c r="AW6" i="3" s="1"/>
  <c r="AV44" i="3"/>
  <c r="AW44" i="3" s="1"/>
  <c r="AV43" i="3"/>
  <c r="AW43" i="3" s="1"/>
  <c r="AV35" i="3"/>
  <c r="AW35" i="3" s="1"/>
  <c r="AV32" i="3"/>
  <c r="AW32" i="3" s="1"/>
  <c r="AV25" i="3"/>
  <c r="AW25" i="3" s="1"/>
  <c r="AV13" i="3"/>
  <c r="AW13" i="3" s="1"/>
  <c r="AV10" i="3"/>
  <c r="AW10" i="3" s="1"/>
  <c r="O71" i="2" l="1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AW9" i="6"/>
  <c r="AX9" i="6" s="1"/>
  <c r="AW8" i="6"/>
  <c r="AX8" i="6" s="1"/>
  <c r="AW7" i="6"/>
  <c r="AX7" i="6" s="1"/>
  <c r="AW6" i="6"/>
  <c r="AX6" i="6" s="1"/>
  <c r="AW5" i="6"/>
  <c r="AX5" i="6" s="1"/>
  <c r="AW16" i="6" l="1"/>
  <c r="AV16" i="6"/>
  <c r="AU16" i="6"/>
  <c r="AT16" i="6"/>
  <c r="AQ16" i="6"/>
  <c r="AP16" i="6"/>
  <c r="AO16" i="6"/>
  <c r="AN16" i="6"/>
  <c r="AM16" i="6"/>
  <c r="W16" i="6"/>
  <c r="S16" i="6"/>
  <c r="Q16" i="6"/>
  <c r="P16" i="6"/>
  <c r="O16" i="6"/>
  <c r="N16" i="6"/>
  <c r="AR9" i="6"/>
  <c r="Y9" i="6"/>
  <c r="AC9" i="6"/>
  <c r="T9" i="6"/>
  <c r="AK9" i="6" s="1"/>
  <c r="L9" i="6"/>
  <c r="AR8" i="6"/>
  <c r="AB8" i="6"/>
  <c r="AC8" i="6"/>
  <c r="Z8" i="6"/>
  <c r="Y8" i="6"/>
  <c r="T8" i="6"/>
  <c r="L8" i="6"/>
  <c r="AR7" i="6"/>
  <c r="AA7" i="6"/>
  <c r="AC7" i="6"/>
  <c r="AB7" i="6"/>
  <c r="Z7" i="6"/>
  <c r="Y7" i="6"/>
  <c r="X7" i="6"/>
  <c r="T7" i="6"/>
  <c r="AK7" i="6" s="1"/>
  <c r="R7" i="6"/>
  <c r="L7" i="6"/>
  <c r="AR6" i="6"/>
  <c r="AC6" i="6"/>
  <c r="AB6" i="6"/>
  <c r="AI6" i="6" s="1"/>
  <c r="AA6" i="6"/>
  <c r="AH6" i="6" s="1"/>
  <c r="Z6" i="6"/>
  <c r="Y6" i="6"/>
  <c r="AF6" i="6" s="1"/>
  <c r="X6" i="6"/>
  <c r="AE6" i="6" s="1"/>
  <c r="T6" i="6"/>
  <c r="R6" i="6"/>
  <c r="L6" i="6"/>
  <c r="AR5" i="6"/>
  <c r="Y5" i="6"/>
  <c r="AC5" i="6"/>
  <c r="T5" i="6"/>
  <c r="V5" i="6" s="1"/>
  <c r="R5" i="6"/>
  <c r="L5" i="6"/>
  <c r="R6" i="5"/>
  <c r="R5" i="5"/>
  <c r="AK6" i="6" l="1"/>
  <c r="AG7" i="6"/>
  <c r="AI7" i="6"/>
  <c r="AG6" i="6"/>
  <c r="AE7" i="6"/>
  <c r="AK8" i="6"/>
  <c r="AF5" i="6"/>
  <c r="AF7" i="6"/>
  <c r="AH7" i="6"/>
  <c r="V7" i="6"/>
  <c r="U6" i="6"/>
  <c r="AJ6" i="6" s="1"/>
  <c r="V6" i="6"/>
  <c r="U5" i="6"/>
  <c r="AJ5" i="6" s="1"/>
  <c r="U9" i="6"/>
  <c r="AJ9" i="6" s="1"/>
  <c r="V9" i="6"/>
  <c r="AX16" i="6"/>
  <c r="AC16" i="6"/>
  <c r="AK5" i="6"/>
  <c r="AR16" i="6"/>
  <c r="Z9" i="6"/>
  <c r="AD16" i="6"/>
  <c r="AA5" i="6"/>
  <c r="AH5" i="6" s="1"/>
  <c r="U8" i="6"/>
  <c r="AJ8" i="6" s="1"/>
  <c r="AA9" i="6"/>
  <c r="Z5" i="6"/>
  <c r="AG5" i="6" s="1"/>
  <c r="X5" i="6"/>
  <c r="AE5" i="6" s="1"/>
  <c r="AB5" i="6"/>
  <c r="AI5" i="6" s="1"/>
  <c r="U7" i="6"/>
  <c r="AJ7" i="6" s="1"/>
  <c r="V8" i="6"/>
  <c r="AA8" i="6"/>
  <c r="X9" i="6"/>
  <c r="AB9" i="6"/>
  <c r="T16" i="6"/>
  <c r="X8" i="6"/>
  <c r="V16" i="6" l="1"/>
  <c r="AL7" i="6"/>
  <c r="AS7" i="6" s="1"/>
  <c r="AK16" i="6"/>
  <c r="AL6" i="6"/>
  <c r="AS6" i="6" s="1"/>
  <c r="U16" i="6"/>
  <c r="Z16" i="6"/>
  <c r="Y16" i="6"/>
  <c r="X16" i="6"/>
  <c r="AA16" i="6"/>
  <c r="AJ16" i="6"/>
  <c r="AB16" i="6"/>
  <c r="AF58" i="2"/>
  <c r="W58" i="2"/>
  <c r="X58" i="2" s="1"/>
  <c r="AM58" i="2" l="1"/>
  <c r="AN58" i="2"/>
  <c r="AL5" i="6"/>
  <c r="AS5" i="6" s="1"/>
  <c r="AC58" i="2"/>
  <c r="AJ58" i="2" s="1"/>
  <c r="AD58" i="2"/>
  <c r="AK58" i="2" s="1"/>
  <c r="AA58" i="2"/>
  <c r="AH58" i="2" s="1"/>
  <c r="AE58" i="2"/>
  <c r="AL58" i="2" s="1"/>
  <c r="AB58" i="2"/>
  <c r="AI58" i="2" s="1"/>
  <c r="Y58" i="2"/>
  <c r="AO58" i="2" l="1"/>
  <c r="AQ58" i="2" l="1"/>
  <c r="AT58" i="2" s="1"/>
  <c r="AR58" i="2"/>
  <c r="AV58" i="2" s="1"/>
  <c r="AP58" i="2"/>
  <c r="BG71" i="2"/>
  <c r="AE71" i="2"/>
  <c r="AF71" i="2"/>
  <c r="W71" i="2"/>
  <c r="X71" i="2" s="1"/>
  <c r="BG70" i="2"/>
  <c r="AE70" i="2"/>
  <c r="AF70" i="2"/>
  <c r="W70" i="2"/>
  <c r="X70" i="2" s="1"/>
  <c r="AL71" i="2" l="1"/>
  <c r="AL70" i="2"/>
  <c r="AM70" i="2"/>
  <c r="AM71" i="2"/>
  <c r="BH70" i="2"/>
  <c r="BH71" i="2"/>
  <c r="BB58" i="2"/>
  <c r="BC58" i="2" s="1"/>
  <c r="AB71" i="2"/>
  <c r="AI71" i="2" s="1"/>
  <c r="AB70" i="2"/>
  <c r="AI70" i="2" s="1"/>
  <c r="Y71" i="2"/>
  <c r="AD71" i="2"/>
  <c r="AK71" i="2" s="1"/>
  <c r="AN71" i="2"/>
  <c r="AC71" i="2"/>
  <c r="AJ71" i="2" s="1"/>
  <c r="AA71" i="2"/>
  <c r="AH71" i="2" s="1"/>
  <c r="AN70" i="2"/>
  <c r="Y70" i="2"/>
  <c r="AD70" i="2"/>
  <c r="AK70" i="2" s="1"/>
  <c r="AC70" i="2"/>
  <c r="AJ70" i="2" s="1"/>
  <c r="AA70" i="2"/>
  <c r="AH70" i="2" s="1"/>
  <c r="AO70" i="2" l="1"/>
  <c r="AO71" i="2"/>
  <c r="AR71" i="2" l="1"/>
  <c r="AV71" i="2" s="1"/>
  <c r="AP70" i="2"/>
  <c r="AR70" i="2"/>
  <c r="AV70" i="2" s="1"/>
  <c r="AQ70" i="2"/>
  <c r="AT70" i="2" s="1"/>
  <c r="AP71" i="2"/>
  <c r="AQ71" i="2"/>
  <c r="AT71" i="2" s="1"/>
  <c r="BB70" i="2" l="1"/>
  <c r="BC70" i="2" s="1"/>
  <c r="BB71" i="2"/>
  <c r="BC71" i="2" s="1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9" i="2"/>
  <c r="BG60" i="2"/>
  <c r="BG61" i="2"/>
  <c r="BG62" i="2"/>
  <c r="BG63" i="2"/>
  <c r="BG64" i="2"/>
  <c r="BG65" i="2"/>
  <c r="BG66" i="2"/>
  <c r="BG67" i="2"/>
  <c r="BG68" i="2"/>
  <c r="BG69" i="2"/>
  <c r="BG6" i="2"/>
  <c r="BG7" i="2"/>
  <c r="BG8" i="2"/>
  <c r="AC69" i="2"/>
  <c r="AF69" i="2"/>
  <c r="AF68" i="2"/>
  <c r="AF67" i="2"/>
  <c r="AD66" i="2"/>
  <c r="AF66" i="2"/>
  <c r="AB66" i="2"/>
  <c r="AA66" i="2"/>
  <c r="AE65" i="2"/>
  <c r="AF65" i="2"/>
  <c r="AC65" i="2"/>
  <c r="AB65" i="2"/>
  <c r="AF64" i="2"/>
  <c r="AF63" i="2"/>
  <c r="AF62" i="2"/>
  <c r="AD61" i="2"/>
  <c r="AF61" i="2"/>
  <c r="AD60" i="2"/>
  <c r="AF60" i="2"/>
  <c r="AC59" i="2"/>
  <c r="AF59" i="2"/>
  <c r="AD57" i="2"/>
  <c r="AF57" i="2"/>
  <c r="AB57" i="2"/>
  <c r="AA57" i="2"/>
  <c r="AF56" i="2"/>
  <c r="AE56" i="2"/>
  <c r="AD56" i="2"/>
  <c r="AC56" i="2"/>
  <c r="AB56" i="2"/>
  <c r="AA56" i="2"/>
  <c r="AF55" i="2"/>
  <c r="AF54" i="2"/>
  <c r="AF53" i="2"/>
  <c r="AD52" i="2"/>
  <c r="AF52" i="2"/>
  <c r="AF51" i="2"/>
  <c r="AF50" i="2"/>
  <c r="AD49" i="2"/>
  <c r="AF49" i="2"/>
  <c r="AE49" i="2"/>
  <c r="AB49" i="2"/>
  <c r="AA49" i="2"/>
  <c r="AE48" i="2"/>
  <c r="AF48" i="2"/>
  <c r="AC47" i="2"/>
  <c r="AF47" i="2"/>
  <c r="AB46" i="2"/>
  <c r="AF46" i="2"/>
  <c r="AD45" i="2"/>
  <c r="AF45" i="2"/>
  <c r="AA45" i="2"/>
  <c r="AC44" i="2"/>
  <c r="AF44" i="2"/>
  <c r="AD43" i="2"/>
  <c r="AF43" i="2"/>
  <c r="AC42" i="2"/>
  <c r="AF42" i="2"/>
  <c r="AD41" i="2"/>
  <c r="AF41" i="2"/>
  <c r="AC41" i="2"/>
  <c r="AB41" i="2"/>
  <c r="AA41" i="2"/>
  <c r="AE40" i="2"/>
  <c r="AF40" i="2"/>
  <c r="AF39" i="2"/>
  <c r="AF38" i="2"/>
  <c r="AD37" i="2"/>
  <c r="AF37" i="2"/>
  <c r="AD36" i="2"/>
  <c r="AF36" i="2"/>
  <c r="AF35" i="2"/>
  <c r="AR34" i="2"/>
  <c r="AV34" i="2" s="1"/>
  <c r="AF34" i="2"/>
  <c r="AF33" i="2"/>
  <c r="AB33" i="2"/>
  <c r="AD32" i="2"/>
  <c r="AF32" i="2"/>
  <c r="AB32" i="2"/>
  <c r="AD31" i="2"/>
  <c r="AF31" i="2"/>
  <c r="AF30" i="2"/>
  <c r="AD29" i="2"/>
  <c r="AF29" i="2"/>
  <c r="AE28" i="2"/>
  <c r="AF28" i="2"/>
  <c r="AF27" i="2"/>
  <c r="AB26" i="2"/>
  <c r="AF26" i="2"/>
  <c r="AF25" i="2"/>
  <c r="AC25" i="2"/>
  <c r="AC24" i="2"/>
  <c r="AF24" i="2"/>
  <c r="AB23" i="2"/>
  <c r="AF23" i="2"/>
  <c r="AD22" i="2"/>
  <c r="AF22" i="2"/>
  <c r="AB22" i="2"/>
  <c r="AA22" i="2"/>
  <c r="AB21" i="2"/>
  <c r="AF21" i="2"/>
  <c r="AE21" i="2"/>
  <c r="AD21" i="2"/>
  <c r="AC21" i="2"/>
  <c r="AA21" i="2"/>
  <c r="AF20" i="2"/>
  <c r="AF19" i="2"/>
  <c r="AB18" i="2"/>
  <c r="AF18" i="2"/>
  <c r="AF17" i="2"/>
  <c r="AF16" i="2"/>
  <c r="AD15" i="2"/>
  <c r="AF15" i="2"/>
  <c r="AE14" i="2"/>
  <c r="AF14" i="2"/>
  <c r="AC13" i="2"/>
  <c r="AF13" i="2"/>
  <c r="AB12" i="2"/>
  <c r="AF12" i="2"/>
  <c r="AD11" i="2"/>
  <c r="AF11" i="2"/>
  <c r="AC10" i="2"/>
  <c r="AF10" i="2"/>
  <c r="AD9" i="2"/>
  <c r="AF9" i="2"/>
  <c r="AF8" i="2"/>
  <c r="AC8" i="2"/>
  <c r="AD7" i="2"/>
  <c r="AF7" i="2"/>
  <c r="AA7" i="2"/>
  <c r="AD6" i="2"/>
  <c r="AF6" i="2"/>
  <c r="AR62" i="2"/>
  <c r="AV62" i="2" s="1"/>
  <c r="AR61" i="2"/>
  <c r="AV61" i="2" s="1"/>
  <c r="AR45" i="2"/>
  <c r="AV45" i="2" s="1"/>
  <c r="AR44" i="2"/>
  <c r="AV44" i="2" s="1"/>
  <c r="AR43" i="2"/>
  <c r="AV43" i="2" s="1"/>
  <c r="AR33" i="2"/>
  <c r="AV33" i="2" s="1"/>
  <c r="AR29" i="2"/>
  <c r="AV29" i="2" s="1"/>
  <c r="AR13" i="2"/>
  <c r="AV13" i="2" s="1"/>
  <c r="AR8" i="2"/>
  <c r="AV8" i="2" s="1"/>
  <c r="AR7" i="2"/>
  <c r="AV7" i="2" s="1"/>
  <c r="BH7" i="2" l="1"/>
  <c r="BH54" i="2"/>
  <c r="BH42" i="2"/>
  <c r="BH34" i="2"/>
  <c r="BH26" i="2"/>
  <c r="BH10" i="2"/>
  <c r="BH6" i="2"/>
  <c r="BH66" i="2"/>
  <c r="BH62" i="2"/>
  <c r="BH57" i="2"/>
  <c r="BH53" i="2"/>
  <c r="BH49" i="2"/>
  <c r="BH45" i="2"/>
  <c r="BH41" i="2"/>
  <c r="BH37" i="2"/>
  <c r="BH33" i="2"/>
  <c r="BH29" i="2"/>
  <c r="BH25" i="2"/>
  <c r="BH21" i="2"/>
  <c r="BH17" i="2"/>
  <c r="BH13" i="2"/>
  <c r="BH9" i="2"/>
  <c r="BH67" i="2"/>
  <c r="BH59" i="2"/>
  <c r="BH50" i="2"/>
  <c r="BH38" i="2"/>
  <c r="BH30" i="2"/>
  <c r="BH22" i="2"/>
  <c r="BH14" i="2"/>
  <c r="BH69" i="2"/>
  <c r="BH65" i="2"/>
  <c r="BH61" i="2"/>
  <c r="BH56" i="2"/>
  <c r="BH52" i="2"/>
  <c r="BH48" i="2"/>
  <c r="BH44" i="2"/>
  <c r="BH40" i="2"/>
  <c r="BH36" i="2"/>
  <c r="BH32" i="2"/>
  <c r="BH28" i="2"/>
  <c r="BH24" i="2"/>
  <c r="BH20" i="2"/>
  <c r="BH16" i="2"/>
  <c r="BH12" i="2"/>
  <c r="BH63" i="2"/>
  <c r="BH46" i="2"/>
  <c r="BH18" i="2"/>
  <c r="BH8" i="2"/>
  <c r="BH68" i="2"/>
  <c r="BH64" i="2"/>
  <c r="BH60" i="2"/>
  <c r="BH55" i="2"/>
  <c r="BH51" i="2"/>
  <c r="BH47" i="2"/>
  <c r="BH43" i="2"/>
  <c r="BH39" i="2"/>
  <c r="BH35" i="2"/>
  <c r="BH31" i="2"/>
  <c r="BH27" i="2"/>
  <c r="BH23" i="2"/>
  <c r="BH19" i="2"/>
  <c r="BH15" i="2"/>
  <c r="BH11" i="2"/>
  <c r="AC7" i="2"/>
  <c r="AR48" i="2"/>
  <c r="AV48" i="2" s="1"/>
  <c r="AE7" i="2"/>
  <c r="AC12" i="2"/>
  <c r="AE15" i="2"/>
  <c r="AD24" i="2"/>
  <c r="AB15" i="2"/>
  <c r="AB36" i="2"/>
  <c r="AB52" i="2"/>
  <c r="AB61" i="2"/>
  <c r="AB7" i="2"/>
  <c r="AA15" i="2"/>
  <c r="AC32" i="2"/>
  <c r="AC36" i="2"/>
  <c r="AB37" i="2"/>
  <c r="AB40" i="2"/>
  <c r="AB45" i="2"/>
  <c r="AD65" i="2"/>
  <c r="AA11" i="2"/>
  <c r="AB14" i="2"/>
  <c r="AC28" i="2"/>
  <c r="AE36" i="2"/>
  <c r="AC37" i="2"/>
  <c r="AC40" i="2"/>
  <c r="AE45" i="2"/>
  <c r="AA65" i="2"/>
  <c r="AC15" i="2"/>
  <c r="AA36" i="2"/>
  <c r="AB28" i="2"/>
  <c r="AE41" i="2"/>
  <c r="AC46" i="2"/>
  <c r="AC49" i="2"/>
  <c r="AA52" i="2"/>
  <c r="AA61" i="2"/>
  <c r="AD13" i="2"/>
  <c r="AB11" i="2"/>
  <c r="AC22" i="2"/>
  <c r="AC23" i="2"/>
  <c r="AD28" i="2"/>
  <c r="AA29" i="2"/>
  <c r="AE32" i="2"/>
  <c r="AE37" i="2"/>
  <c r="AB48" i="2"/>
  <c r="AC52" i="2"/>
  <c r="AC61" i="2"/>
  <c r="AE11" i="2"/>
  <c r="AE22" i="2"/>
  <c r="AA28" i="2"/>
  <c r="AB29" i="2"/>
  <c r="AA32" i="2"/>
  <c r="AA37" i="2"/>
  <c r="AD47" i="2"/>
  <c r="AC48" i="2"/>
  <c r="AE52" i="2"/>
  <c r="AE61" i="2"/>
  <c r="AC20" i="2"/>
  <c r="AR20" i="2"/>
  <c r="AV20" i="2" s="1"/>
  <c r="AD53" i="2"/>
  <c r="AA53" i="2"/>
  <c r="AE53" i="2"/>
  <c r="AC53" i="2"/>
  <c r="AR9" i="2"/>
  <c r="AV9" i="2" s="1"/>
  <c r="AC6" i="2"/>
  <c r="AB25" i="2"/>
  <c r="AE25" i="2"/>
  <c r="AA25" i="2"/>
  <c r="AD25" i="2"/>
  <c r="AB44" i="2"/>
  <c r="AE44" i="2"/>
  <c r="AA44" i="2"/>
  <c r="AD44" i="2"/>
  <c r="AB53" i="2"/>
  <c r="AB6" i="2"/>
  <c r="AE6" i="2"/>
  <c r="AA6" i="2"/>
  <c r="AR6" i="2"/>
  <c r="AV6" i="2" s="1"/>
  <c r="AD18" i="2"/>
  <c r="AA18" i="2"/>
  <c r="AE18" i="2"/>
  <c r="AC18" i="2"/>
  <c r="AC34" i="2"/>
  <c r="AB34" i="2"/>
  <c r="AD62" i="2"/>
  <c r="AA62" i="2"/>
  <c r="AE62" i="2"/>
  <c r="AC62" i="2"/>
  <c r="AD64" i="2"/>
  <c r="AC64" i="2"/>
  <c r="AB10" i="2"/>
  <c r="AE10" i="2"/>
  <c r="AA10" i="2"/>
  <c r="AD10" i="2"/>
  <c r="AC30" i="2"/>
  <c r="AR30" i="2"/>
  <c r="AV30" i="2" s="1"/>
  <c r="AD33" i="2"/>
  <c r="AA33" i="2"/>
  <c r="AE33" i="2"/>
  <c r="AC33" i="2"/>
  <c r="AD35" i="2"/>
  <c r="AR35" i="2"/>
  <c r="AV35" i="2" s="1"/>
  <c r="AC35" i="2"/>
  <c r="AB62" i="2"/>
  <c r="AC63" i="2"/>
  <c r="AB63" i="2"/>
  <c r="AB69" i="2"/>
  <c r="AA69" i="2"/>
  <c r="AD69" i="2"/>
  <c r="AE69" i="2"/>
  <c r="AC14" i="2"/>
  <c r="AD14" i="2"/>
  <c r="AC29" i="2"/>
  <c r="AD40" i="2"/>
  <c r="AD48" i="2"/>
  <c r="AC57" i="2"/>
  <c r="AC66" i="2"/>
  <c r="AR11" i="2"/>
  <c r="AV11" i="2" s="1"/>
  <c r="AR32" i="2"/>
  <c r="AV32" i="2" s="1"/>
  <c r="AR46" i="2"/>
  <c r="AV46" i="2" s="1"/>
  <c r="AR52" i="2"/>
  <c r="AV52" i="2" s="1"/>
  <c r="AC11" i="2"/>
  <c r="AA14" i="2"/>
  <c r="AE29" i="2"/>
  <c r="AA40" i="2"/>
  <c r="AC45" i="2"/>
  <c r="AA48" i="2"/>
  <c r="AE57" i="2"/>
  <c r="AE66" i="2"/>
  <c r="AE50" i="2"/>
  <c r="AA50" i="2"/>
  <c r="AD50" i="2"/>
  <c r="AC50" i="2"/>
  <c r="AB50" i="2"/>
  <c r="AB68" i="2"/>
  <c r="AE68" i="2"/>
  <c r="AA68" i="2"/>
  <c r="AC68" i="2"/>
  <c r="AD68" i="2"/>
  <c r="AB17" i="2"/>
  <c r="AE17" i="2"/>
  <c r="AA17" i="2"/>
  <c r="AR17" i="2"/>
  <c r="AV17" i="2" s="1"/>
  <c r="AD17" i="2"/>
  <c r="AC17" i="2"/>
  <c r="AB51" i="2"/>
  <c r="AE51" i="2"/>
  <c r="AA51" i="2"/>
  <c r="AC51" i="2"/>
  <c r="AD51" i="2"/>
  <c r="AE67" i="2"/>
  <c r="AA67" i="2"/>
  <c r="AD67" i="2"/>
  <c r="AC67" i="2"/>
  <c r="AB67" i="2"/>
  <c r="AE16" i="2"/>
  <c r="AA16" i="2"/>
  <c r="AD16" i="2"/>
  <c r="AB16" i="2"/>
  <c r="AC16" i="2"/>
  <c r="AE19" i="2"/>
  <c r="AA19" i="2"/>
  <c r="AD19" i="2"/>
  <c r="AB27" i="2"/>
  <c r="AE27" i="2"/>
  <c r="AA27" i="2"/>
  <c r="AE38" i="2"/>
  <c r="AA38" i="2"/>
  <c r="AD38" i="2"/>
  <c r="AE54" i="2"/>
  <c r="AA54" i="2"/>
  <c r="AD54" i="2"/>
  <c r="AB39" i="2"/>
  <c r="AE39" i="2"/>
  <c r="AA39" i="2"/>
  <c r="AB55" i="2"/>
  <c r="AE55" i="2"/>
  <c r="AA55" i="2"/>
  <c r="AR54" i="2"/>
  <c r="AV54" i="2" s="1"/>
  <c r="AR55" i="2"/>
  <c r="AV55" i="2" s="1"/>
  <c r="AE8" i="2"/>
  <c r="AA8" i="2"/>
  <c r="AD8" i="2"/>
  <c r="AB9" i="2"/>
  <c r="AE9" i="2"/>
  <c r="AA9" i="2"/>
  <c r="AB19" i="2"/>
  <c r="AC27" i="2"/>
  <c r="AE30" i="2"/>
  <c r="AA30" i="2"/>
  <c r="AD30" i="2"/>
  <c r="AB31" i="2"/>
  <c r="AE31" i="2"/>
  <c r="AA31" i="2"/>
  <c r="AB38" i="2"/>
  <c r="AC39" i="2"/>
  <c r="AE42" i="2"/>
  <c r="AA42" i="2"/>
  <c r="AD42" i="2"/>
  <c r="AB43" i="2"/>
  <c r="AE43" i="2"/>
  <c r="AA43" i="2"/>
  <c r="AB54" i="2"/>
  <c r="AC55" i="2"/>
  <c r="AE59" i="2"/>
  <c r="AA59" i="2"/>
  <c r="AD59" i="2"/>
  <c r="AB60" i="2"/>
  <c r="AE60" i="2"/>
  <c r="AA60" i="2"/>
  <c r="AB20" i="2"/>
  <c r="AE20" i="2"/>
  <c r="AA20" i="2"/>
  <c r="AE26" i="2"/>
  <c r="AA26" i="2"/>
  <c r="AD26" i="2"/>
  <c r="AR31" i="2"/>
  <c r="AV31" i="2" s="1"/>
  <c r="AB8" i="2"/>
  <c r="AC9" i="2"/>
  <c r="AE12" i="2"/>
  <c r="AA12" i="2"/>
  <c r="AD12" i="2"/>
  <c r="AB13" i="2"/>
  <c r="AE13" i="2"/>
  <c r="AA13" i="2"/>
  <c r="AC19" i="2"/>
  <c r="AD20" i="2"/>
  <c r="AE23" i="2"/>
  <c r="AA23" i="2"/>
  <c r="AD23" i="2"/>
  <c r="AB24" i="2"/>
  <c r="AE24" i="2"/>
  <c r="AA24" i="2"/>
  <c r="AC26" i="2"/>
  <c r="AD27" i="2"/>
  <c r="AB30" i="2"/>
  <c r="AC31" i="2"/>
  <c r="AE34" i="2"/>
  <c r="AA34" i="2"/>
  <c r="AD34" i="2"/>
  <c r="AB35" i="2"/>
  <c r="AE35" i="2"/>
  <c r="AA35" i="2"/>
  <c r="AC38" i="2"/>
  <c r="AD39" i="2"/>
  <c r="AB42" i="2"/>
  <c r="AC43" i="2"/>
  <c r="AE46" i="2"/>
  <c r="AA46" i="2"/>
  <c r="AD46" i="2"/>
  <c r="AB47" i="2"/>
  <c r="AE47" i="2"/>
  <c r="AA47" i="2"/>
  <c r="AC54" i="2"/>
  <c r="AD55" i="2"/>
  <c r="AB59" i="2"/>
  <c r="AC60" i="2"/>
  <c r="AE63" i="2"/>
  <c r="AA63" i="2"/>
  <c r="AD63" i="2"/>
  <c r="AB64" i="2"/>
  <c r="AE64" i="2"/>
  <c r="AA64" i="2"/>
  <c r="W64" i="2"/>
  <c r="AN64" i="2" s="1"/>
  <c r="W11" i="2"/>
  <c r="X11" i="2" s="1"/>
  <c r="AM11" i="2" s="1"/>
  <c r="W13" i="2"/>
  <c r="X13" i="2" s="1"/>
  <c r="AM13" i="2" s="1"/>
  <c r="W15" i="2"/>
  <c r="W17" i="2"/>
  <c r="X17" i="2" s="1"/>
  <c r="AM17" i="2" s="1"/>
  <c r="W18" i="2"/>
  <c r="X18" i="2" s="1"/>
  <c r="AM18" i="2" s="1"/>
  <c r="W22" i="2"/>
  <c r="X22" i="2" s="1"/>
  <c r="AM22" i="2" s="1"/>
  <c r="W25" i="2"/>
  <c r="Y25" i="2" s="1"/>
  <c r="W29" i="2"/>
  <c r="X29" i="2" s="1"/>
  <c r="AM29" i="2" s="1"/>
  <c r="W33" i="2"/>
  <c r="W37" i="2"/>
  <c r="X37" i="2" s="1"/>
  <c r="AM37" i="2" s="1"/>
  <c r="W41" i="2"/>
  <c r="W45" i="2"/>
  <c r="W49" i="2"/>
  <c r="W53" i="2"/>
  <c r="X53" i="2" s="1"/>
  <c r="AM53" i="2" s="1"/>
  <c r="W57" i="2"/>
  <c r="W60" i="2"/>
  <c r="X62" i="2"/>
  <c r="AM62" i="2" s="1"/>
  <c r="W63" i="2"/>
  <c r="X63" i="2" s="1"/>
  <c r="AM63" i="2" s="1"/>
  <c r="W65" i="2"/>
  <c r="W66" i="2"/>
  <c r="Y66" i="2" s="1"/>
  <c r="W67" i="2"/>
  <c r="X67" i="2" s="1"/>
  <c r="AM67" i="2" s="1"/>
  <c r="W68" i="2"/>
  <c r="W69" i="2"/>
  <c r="W9" i="2"/>
  <c r="W10" i="2"/>
  <c r="W12" i="2"/>
  <c r="AN12" i="2" s="1"/>
  <c r="W14" i="2"/>
  <c r="W16" i="2"/>
  <c r="AN16" i="2" s="1"/>
  <c r="W19" i="2"/>
  <c r="AN19" i="2" s="1"/>
  <c r="W20" i="2"/>
  <c r="AN20" i="2" s="1"/>
  <c r="W21" i="2"/>
  <c r="W23" i="2"/>
  <c r="AN23" i="2" s="1"/>
  <c r="W24" i="2"/>
  <c r="AN24" i="2" s="1"/>
  <c r="W26" i="2"/>
  <c r="AN26" i="2" s="1"/>
  <c r="W27" i="2"/>
  <c r="AN27" i="2" s="1"/>
  <c r="W30" i="2"/>
  <c r="AN30" i="2" s="1"/>
  <c r="W31" i="2"/>
  <c r="W34" i="2"/>
  <c r="AN34" i="2" s="1"/>
  <c r="W35" i="2"/>
  <c r="W36" i="2"/>
  <c r="W38" i="2"/>
  <c r="AN38" i="2" s="1"/>
  <c r="W39" i="2"/>
  <c r="W40" i="2"/>
  <c r="W42" i="2"/>
  <c r="AN42" i="2" s="1"/>
  <c r="W43" i="2"/>
  <c r="W44" i="2"/>
  <c r="W46" i="2"/>
  <c r="AN46" i="2" s="1"/>
  <c r="W47" i="2"/>
  <c r="W50" i="2"/>
  <c r="AN50" i="2" s="1"/>
  <c r="W51" i="2"/>
  <c r="W54" i="2"/>
  <c r="AN54" i="2" s="1"/>
  <c r="W55" i="2"/>
  <c r="W59" i="2"/>
  <c r="AN59" i="2" s="1"/>
  <c r="W61" i="2"/>
  <c r="AI12" i="2" l="1"/>
  <c r="AL12" i="2"/>
  <c r="AH12" i="2"/>
  <c r="AK12" i="2"/>
  <c r="AJ12" i="2"/>
  <c r="AJ20" i="2"/>
  <c r="AI20" i="2"/>
  <c r="AL20" i="2"/>
  <c r="AH20" i="2"/>
  <c r="AK20" i="2"/>
  <c r="AJ32" i="2"/>
  <c r="AI32" i="2"/>
  <c r="AL32" i="2"/>
  <c r="AH32" i="2"/>
  <c r="AK32" i="2"/>
  <c r="AJ44" i="2"/>
  <c r="AI44" i="2"/>
  <c r="AL44" i="2"/>
  <c r="AH44" i="2"/>
  <c r="AK44" i="2"/>
  <c r="AJ52" i="2"/>
  <c r="AI52" i="2"/>
  <c r="AL52" i="2"/>
  <c r="AH52" i="2"/>
  <c r="AK52" i="2"/>
  <c r="AL66" i="2"/>
  <c r="AH66" i="2"/>
  <c r="AK66" i="2"/>
  <c r="AJ66" i="2"/>
  <c r="AI66" i="2"/>
  <c r="AI9" i="2"/>
  <c r="AJ9" i="2"/>
  <c r="AL9" i="2"/>
  <c r="AH9" i="2"/>
  <c r="AK9" i="2"/>
  <c r="AL13" i="2"/>
  <c r="AH13" i="2"/>
  <c r="AK13" i="2"/>
  <c r="AJ13" i="2"/>
  <c r="AI13" i="2"/>
  <c r="AI17" i="2"/>
  <c r="AL17" i="2"/>
  <c r="AH17" i="2"/>
  <c r="AK17" i="2"/>
  <c r="AJ17" i="2"/>
  <c r="AI21" i="2"/>
  <c r="AL21" i="2"/>
  <c r="AH21" i="2"/>
  <c r="AK21" i="2"/>
  <c r="AJ21" i="2"/>
  <c r="AI25" i="2"/>
  <c r="AL25" i="2"/>
  <c r="AH25" i="2"/>
  <c r="AK25" i="2"/>
  <c r="AJ25" i="2"/>
  <c r="AI29" i="2"/>
  <c r="AL29" i="2"/>
  <c r="AH29" i="2"/>
  <c r="AK29" i="2"/>
  <c r="AJ29" i="2"/>
  <c r="AI33" i="2"/>
  <c r="AL33" i="2"/>
  <c r="AH33" i="2"/>
  <c r="AK33" i="2"/>
  <c r="AJ33" i="2"/>
  <c r="AI37" i="2"/>
  <c r="AL37" i="2"/>
  <c r="AH37" i="2"/>
  <c r="AK37" i="2"/>
  <c r="AJ37" i="2"/>
  <c r="AI41" i="2"/>
  <c r="AL41" i="2"/>
  <c r="AH41" i="2"/>
  <c r="AK41" i="2"/>
  <c r="AJ41" i="2"/>
  <c r="AI45" i="2"/>
  <c r="AL45" i="2"/>
  <c r="AH45" i="2"/>
  <c r="AK45" i="2"/>
  <c r="AJ45" i="2"/>
  <c r="AI49" i="2"/>
  <c r="AL49" i="2"/>
  <c r="AH49" i="2"/>
  <c r="AK49" i="2"/>
  <c r="AJ49" i="2"/>
  <c r="AI53" i="2"/>
  <c r="AL53" i="2"/>
  <c r="AH53" i="2"/>
  <c r="AK53" i="2"/>
  <c r="AJ53" i="2"/>
  <c r="AI57" i="2"/>
  <c r="AL57" i="2"/>
  <c r="AH57" i="2"/>
  <c r="AK57" i="2"/>
  <c r="AJ57" i="2"/>
  <c r="AJ64" i="2"/>
  <c r="AI64" i="2"/>
  <c r="AL64" i="2"/>
  <c r="AH64" i="2"/>
  <c r="AK64" i="2"/>
  <c r="AK67" i="2"/>
  <c r="AJ67" i="2"/>
  <c r="AI67" i="2"/>
  <c r="AH67" i="2"/>
  <c r="AL67" i="2"/>
  <c r="AJ16" i="2"/>
  <c r="AI16" i="2"/>
  <c r="AL16" i="2"/>
  <c r="AH16" i="2"/>
  <c r="AK16" i="2"/>
  <c r="AJ28" i="2"/>
  <c r="AI28" i="2"/>
  <c r="AL28" i="2"/>
  <c r="AH28" i="2"/>
  <c r="AK28" i="2"/>
  <c r="AJ36" i="2"/>
  <c r="AI36" i="2"/>
  <c r="AL36" i="2"/>
  <c r="AH36" i="2"/>
  <c r="AK36" i="2"/>
  <c r="AJ48" i="2"/>
  <c r="AI48" i="2"/>
  <c r="AL48" i="2"/>
  <c r="AH48" i="2"/>
  <c r="AK48" i="2"/>
  <c r="AI61" i="2"/>
  <c r="AL61" i="2"/>
  <c r="AH61" i="2"/>
  <c r="AK61" i="2"/>
  <c r="AJ61" i="2"/>
  <c r="AK10" i="2"/>
  <c r="AH10" i="2"/>
  <c r="AL10" i="2"/>
  <c r="AJ10" i="2"/>
  <c r="AI10" i="2"/>
  <c r="AK14" i="2"/>
  <c r="AJ14" i="2"/>
  <c r="AI14" i="2"/>
  <c r="AH14" i="2"/>
  <c r="AL14" i="2"/>
  <c r="AL18" i="2"/>
  <c r="AH18" i="2"/>
  <c r="AK18" i="2"/>
  <c r="AJ18" i="2"/>
  <c r="AI18" i="2"/>
  <c r="AL22" i="2"/>
  <c r="AH22" i="2"/>
  <c r="AK22" i="2"/>
  <c r="AJ22" i="2"/>
  <c r="AI22" i="2"/>
  <c r="AL26" i="2"/>
  <c r="AH26" i="2"/>
  <c r="AK26" i="2"/>
  <c r="AJ26" i="2"/>
  <c r="AI26" i="2"/>
  <c r="AL30" i="2"/>
  <c r="AH30" i="2"/>
  <c r="AK30" i="2"/>
  <c r="AJ30" i="2"/>
  <c r="AI30" i="2"/>
  <c r="AL34" i="2"/>
  <c r="AH34" i="2"/>
  <c r="AK34" i="2"/>
  <c r="AJ34" i="2"/>
  <c r="AI34" i="2"/>
  <c r="AL38" i="2"/>
  <c r="AH38" i="2"/>
  <c r="AK38" i="2"/>
  <c r="AJ38" i="2"/>
  <c r="AI38" i="2"/>
  <c r="AL42" i="2"/>
  <c r="AH42" i="2"/>
  <c r="AK42" i="2"/>
  <c r="AJ42" i="2"/>
  <c r="AI42" i="2"/>
  <c r="AL46" i="2"/>
  <c r="AH46" i="2"/>
  <c r="AK46" i="2"/>
  <c r="AJ46" i="2"/>
  <c r="AI46" i="2"/>
  <c r="AL50" i="2"/>
  <c r="AH50" i="2"/>
  <c r="AK50" i="2"/>
  <c r="AJ50" i="2"/>
  <c r="AI50" i="2"/>
  <c r="AL54" i="2"/>
  <c r="AH54" i="2"/>
  <c r="AK54" i="2"/>
  <c r="AJ54" i="2"/>
  <c r="AI54" i="2"/>
  <c r="AK59" i="2"/>
  <c r="AJ59" i="2"/>
  <c r="AI59" i="2"/>
  <c r="AL59" i="2"/>
  <c r="AH59" i="2"/>
  <c r="AJ68" i="2"/>
  <c r="AI68" i="2"/>
  <c r="AL68" i="2"/>
  <c r="AH68" i="2"/>
  <c r="AK68" i="2"/>
  <c r="AJ24" i="2"/>
  <c r="AI24" i="2"/>
  <c r="AL24" i="2"/>
  <c r="AH24" i="2"/>
  <c r="AK24" i="2"/>
  <c r="AJ40" i="2"/>
  <c r="AI40" i="2"/>
  <c r="AL40" i="2"/>
  <c r="AH40" i="2"/>
  <c r="AK40" i="2"/>
  <c r="AJ56" i="2"/>
  <c r="AI56" i="2"/>
  <c r="AL56" i="2"/>
  <c r="AH56" i="2"/>
  <c r="AK56" i="2"/>
  <c r="AK63" i="2"/>
  <c r="AJ63" i="2"/>
  <c r="AI63" i="2"/>
  <c r="AH63" i="2"/>
  <c r="AL63" i="2"/>
  <c r="AJ11" i="2"/>
  <c r="AI11" i="2"/>
  <c r="AL11" i="2"/>
  <c r="AH11" i="2"/>
  <c r="AK11" i="2"/>
  <c r="AK19" i="2"/>
  <c r="AJ19" i="2"/>
  <c r="AI19" i="2"/>
  <c r="AL19" i="2"/>
  <c r="AH19" i="2"/>
  <c r="AK23" i="2"/>
  <c r="AJ23" i="2"/>
  <c r="AI23" i="2"/>
  <c r="AL23" i="2"/>
  <c r="AH23" i="2"/>
  <c r="AK27" i="2"/>
  <c r="AJ27" i="2"/>
  <c r="AI27" i="2"/>
  <c r="AL27" i="2"/>
  <c r="AH27" i="2"/>
  <c r="AK31" i="2"/>
  <c r="AJ31" i="2"/>
  <c r="AI31" i="2"/>
  <c r="AH31" i="2"/>
  <c r="AL31" i="2"/>
  <c r="AK35" i="2"/>
  <c r="AJ35" i="2"/>
  <c r="AI35" i="2"/>
  <c r="AH35" i="2"/>
  <c r="AL35" i="2"/>
  <c r="AK39" i="2"/>
  <c r="AJ39" i="2"/>
  <c r="AI39" i="2"/>
  <c r="AL39" i="2"/>
  <c r="AH39" i="2"/>
  <c r="AK43" i="2"/>
  <c r="AJ43" i="2"/>
  <c r="AI43" i="2"/>
  <c r="AL43" i="2"/>
  <c r="AH43" i="2"/>
  <c r="AK47" i="2"/>
  <c r="AJ47" i="2"/>
  <c r="AI47" i="2"/>
  <c r="AH47" i="2"/>
  <c r="AL47" i="2"/>
  <c r="AK51" i="2"/>
  <c r="AJ51" i="2"/>
  <c r="AI51" i="2"/>
  <c r="AH51" i="2"/>
  <c r="AL51" i="2"/>
  <c r="AK55" i="2"/>
  <c r="AJ55" i="2"/>
  <c r="AI55" i="2"/>
  <c r="AL55" i="2"/>
  <c r="AH55" i="2"/>
  <c r="AJ60" i="2"/>
  <c r="AI60" i="2"/>
  <c r="AL60" i="2"/>
  <c r="AH60" i="2"/>
  <c r="AK60" i="2"/>
  <c r="AL62" i="2"/>
  <c r="AH62" i="2"/>
  <c r="AK62" i="2"/>
  <c r="AJ62" i="2"/>
  <c r="AI62" i="2"/>
  <c r="AI65" i="2"/>
  <c r="AL65" i="2"/>
  <c r="AH65" i="2"/>
  <c r="AK65" i="2"/>
  <c r="AJ65" i="2"/>
  <c r="AI69" i="2"/>
  <c r="AL69" i="2"/>
  <c r="AH69" i="2"/>
  <c r="AK69" i="2"/>
  <c r="AJ69" i="2"/>
  <c r="AL15" i="2"/>
  <c r="AH15" i="2"/>
  <c r="AI15" i="2"/>
  <c r="AK15" i="2"/>
  <c r="AJ15" i="2"/>
  <c r="X25" i="2"/>
  <c r="AM25" i="2" s="1"/>
  <c r="AN66" i="2"/>
  <c r="X65" i="2"/>
  <c r="AM65" i="2" s="1"/>
  <c r="AN65" i="2"/>
  <c r="X41" i="2"/>
  <c r="AM41" i="2" s="1"/>
  <c r="AN41" i="2"/>
  <c r="Y61" i="2"/>
  <c r="AN61" i="2"/>
  <c r="X51" i="2"/>
  <c r="AM51" i="2" s="1"/>
  <c r="AN51" i="2"/>
  <c r="Y44" i="2"/>
  <c r="AN44" i="2"/>
  <c r="X39" i="2"/>
  <c r="AM39" i="2" s="1"/>
  <c r="AN39" i="2"/>
  <c r="X21" i="2"/>
  <c r="AM21" i="2" s="1"/>
  <c r="AN21" i="2"/>
  <c r="Y68" i="2"/>
  <c r="AN68" i="2"/>
  <c r="Y18" i="2"/>
  <c r="AN18" i="2"/>
  <c r="Y13" i="2"/>
  <c r="AN13" i="2"/>
  <c r="AN29" i="2"/>
  <c r="AN67" i="2"/>
  <c r="Y40" i="2"/>
  <c r="AN40" i="2"/>
  <c r="X69" i="2"/>
  <c r="AM69" i="2" s="1"/>
  <c r="AN69" i="2"/>
  <c r="X57" i="2"/>
  <c r="AM57" i="2" s="1"/>
  <c r="AN57" i="2"/>
  <c r="Y15" i="2"/>
  <c r="AN15" i="2"/>
  <c r="X43" i="2"/>
  <c r="AM43" i="2" s="1"/>
  <c r="AN43" i="2"/>
  <c r="X31" i="2"/>
  <c r="AM31" i="2" s="1"/>
  <c r="AN31" i="2"/>
  <c r="X10" i="2"/>
  <c r="AM10" i="2" s="1"/>
  <c r="AN10" i="2"/>
  <c r="X49" i="2"/>
  <c r="AM49" i="2" s="1"/>
  <c r="AN49" i="2"/>
  <c r="X33" i="2"/>
  <c r="AM33" i="2" s="1"/>
  <c r="AN33" i="2"/>
  <c r="Y17" i="2"/>
  <c r="AN17" i="2"/>
  <c r="AN37" i="2"/>
  <c r="AN53" i="2"/>
  <c r="X35" i="2"/>
  <c r="AM35" i="2" s="1"/>
  <c r="AN35" i="2"/>
  <c r="X55" i="2"/>
  <c r="AM55" i="2" s="1"/>
  <c r="AN55" i="2"/>
  <c r="X47" i="2"/>
  <c r="AM47" i="2" s="1"/>
  <c r="AN47" i="2"/>
  <c r="Y36" i="2"/>
  <c r="AN36" i="2"/>
  <c r="X14" i="2"/>
  <c r="AM14" i="2" s="1"/>
  <c r="AN14" i="2"/>
  <c r="X9" i="2"/>
  <c r="AM9" i="2" s="1"/>
  <c r="AN9" i="2"/>
  <c r="X60" i="2"/>
  <c r="AM60" i="2" s="1"/>
  <c r="AN60" i="2"/>
  <c r="X45" i="2"/>
  <c r="AM45" i="2" s="1"/>
  <c r="AN45" i="2"/>
  <c r="Y22" i="2"/>
  <c r="AN22" i="2"/>
  <c r="X15" i="2"/>
  <c r="AM15" i="2" s="1"/>
  <c r="Y11" i="2"/>
  <c r="AN11" i="2"/>
  <c r="AN62" i="2"/>
  <c r="AN25" i="2"/>
  <c r="AN63" i="2"/>
  <c r="X68" i="2"/>
  <c r="AM68" i="2" s="1"/>
  <c r="X66" i="2"/>
  <c r="AM66" i="2" s="1"/>
  <c r="Y64" i="2"/>
  <c r="X64" i="2"/>
  <c r="AM64" i="2" s="1"/>
  <c r="Y54" i="2"/>
  <c r="X54" i="2"/>
  <c r="AM54" i="2" s="1"/>
  <c r="X46" i="2"/>
  <c r="AM46" i="2" s="1"/>
  <c r="Y46" i="2"/>
  <c r="X38" i="2"/>
  <c r="AM38" i="2" s="1"/>
  <c r="Y38" i="2"/>
  <c r="X34" i="2"/>
  <c r="AM34" i="2" s="1"/>
  <c r="Y34" i="2"/>
  <c r="X26" i="2"/>
  <c r="AM26" i="2" s="1"/>
  <c r="Y26" i="2"/>
  <c r="X19" i="2"/>
  <c r="AM19" i="2" s="1"/>
  <c r="Y19" i="2"/>
  <c r="X16" i="2"/>
  <c r="AM16" i="2" s="1"/>
  <c r="Y16" i="2"/>
  <c r="Y59" i="2"/>
  <c r="X59" i="2"/>
  <c r="AM59" i="2" s="1"/>
  <c r="Y50" i="2"/>
  <c r="X50" i="2"/>
  <c r="AM50" i="2" s="1"/>
  <c r="Y42" i="2"/>
  <c r="X42" i="2"/>
  <c r="AM42" i="2" s="1"/>
  <c r="Y30" i="2"/>
  <c r="X30" i="2"/>
  <c r="AM30" i="2" s="1"/>
  <c r="X23" i="2"/>
  <c r="AM23" i="2" s="1"/>
  <c r="Y23" i="2"/>
  <c r="X12" i="2"/>
  <c r="AM12" i="2" s="1"/>
  <c r="Y12" i="2"/>
  <c r="Y27" i="2"/>
  <c r="X27" i="2"/>
  <c r="AM27" i="2" s="1"/>
  <c r="Y24" i="2"/>
  <c r="X24" i="2"/>
  <c r="AM24" i="2" s="1"/>
  <c r="Y20" i="2"/>
  <c r="X20" i="2"/>
  <c r="AM20" i="2" s="1"/>
  <c r="X44" i="2"/>
  <c r="AM44" i="2" s="1"/>
  <c r="X40" i="2"/>
  <c r="AM40" i="2" s="1"/>
  <c r="X36" i="2"/>
  <c r="AM36" i="2" s="1"/>
  <c r="X61" i="2"/>
  <c r="AM61" i="2" s="1"/>
  <c r="W56" i="2"/>
  <c r="X56" i="2" s="1"/>
  <c r="AM56" i="2" s="1"/>
  <c r="W52" i="2"/>
  <c r="X52" i="2" s="1"/>
  <c r="AM52" i="2" s="1"/>
  <c r="W48" i="2"/>
  <c r="W32" i="2"/>
  <c r="W28" i="2"/>
  <c r="Y69" i="2"/>
  <c r="Y62" i="2"/>
  <c r="Y57" i="2"/>
  <c r="Y53" i="2"/>
  <c r="Y49" i="2"/>
  <c r="Y45" i="2"/>
  <c r="Y41" i="2"/>
  <c r="Y37" i="2"/>
  <c r="Y33" i="2"/>
  <c r="Y29" i="2"/>
  <c r="Y65" i="2"/>
  <c r="Y63" i="2"/>
  <c r="Y9" i="2"/>
  <c r="Y67" i="2"/>
  <c r="Y60" i="2"/>
  <c r="Y55" i="2"/>
  <c r="Y51" i="2"/>
  <c r="Y47" i="2"/>
  <c r="Y43" i="2"/>
  <c r="Y39" i="2"/>
  <c r="Y35" i="2"/>
  <c r="Y31" i="2"/>
  <c r="Y21" i="2"/>
  <c r="Y14" i="2"/>
  <c r="Y10" i="2"/>
  <c r="AO31" i="2" l="1"/>
  <c r="AO9" i="2"/>
  <c r="AO68" i="2"/>
  <c r="AO66" i="2"/>
  <c r="AO34" i="2"/>
  <c r="AO23" i="2"/>
  <c r="AO59" i="2"/>
  <c r="AO12" i="2"/>
  <c r="AO25" i="2"/>
  <c r="AO39" i="2"/>
  <c r="Y28" i="2"/>
  <c r="AN28" i="2"/>
  <c r="AO64" i="2"/>
  <c r="Y32" i="2"/>
  <c r="AN32" i="2"/>
  <c r="AO54" i="2"/>
  <c r="AO42" i="2"/>
  <c r="Y48" i="2"/>
  <c r="AN48" i="2"/>
  <c r="AO44" i="2"/>
  <c r="AO36" i="2"/>
  <c r="AO21" i="2"/>
  <c r="Y56" i="2"/>
  <c r="AN56" i="2"/>
  <c r="AO56" i="2" s="1"/>
  <c r="Y52" i="2"/>
  <c r="AN52" i="2"/>
  <c r="AO52" i="2" s="1"/>
  <c r="X28" i="2"/>
  <c r="AM28" i="2" s="1"/>
  <c r="AO46" i="2"/>
  <c r="AO63" i="2"/>
  <c r="AO50" i="2"/>
  <c r="AO38" i="2"/>
  <c r="AO26" i="2"/>
  <c r="AO19" i="2"/>
  <c r="AO47" i="2"/>
  <c r="AO69" i="2"/>
  <c r="AO62" i="2"/>
  <c r="AO57" i="2"/>
  <c r="AO45" i="2"/>
  <c r="AO41" i="2"/>
  <c r="AO33" i="2"/>
  <c r="AO18" i="2"/>
  <c r="AO30" i="2"/>
  <c r="AO16" i="2"/>
  <c r="AO53" i="2"/>
  <c r="AO67" i="2"/>
  <c r="AO60" i="2"/>
  <c r="AO55" i="2"/>
  <c r="AO51" i="2"/>
  <c r="AO43" i="2"/>
  <c r="AO35" i="2"/>
  <c r="AO27" i="2"/>
  <c r="AO24" i="2"/>
  <c r="AO20" i="2"/>
  <c r="AO17" i="2"/>
  <c r="AO13" i="2"/>
  <c r="AO65" i="2"/>
  <c r="AO37" i="2"/>
  <c r="AO22" i="2"/>
  <c r="AO61" i="2"/>
  <c r="AO40" i="2"/>
  <c r="AO14" i="2"/>
  <c r="AO11" i="2"/>
  <c r="AO10" i="2"/>
  <c r="AO49" i="2"/>
  <c r="AO29" i="2"/>
  <c r="AO15" i="2"/>
  <c r="X32" i="2"/>
  <c r="AM32" i="2" s="1"/>
  <c r="X48" i="2"/>
  <c r="AR12" i="2" l="1"/>
  <c r="AV12" i="2" s="1"/>
  <c r="AR47" i="2"/>
  <c r="AV47" i="2" s="1"/>
  <c r="AR50" i="2"/>
  <c r="AV50" i="2" s="1"/>
  <c r="AR39" i="2"/>
  <c r="AV39" i="2" s="1"/>
  <c r="AR49" i="2"/>
  <c r="AV49" i="2" s="1"/>
  <c r="AR10" i="2"/>
  <c r="AV10" i="2" s="1"/>
  <c r="AR27" i="2"/>
  <c r="AV27" i="2" s="1"/>
  <c r="AM48" i="2"/>
  <c r="AO48" i="2" s="1"/>
  <c r="AO32" i="2"/>
  <c r="AQ24" i="2"/>
  <c r="AT24" i="2" s="1"/>
  <c r="AR53" i="2"/>
  <c r="AV53" i="2" s="1"/>
  <c r="AP62" i="2"/>
  <c r="AQ44" i="2"/>
  <c r="AT44" i="2" s="1"/>
  <c r="BB44" i="2" s="1"/>
  <c r="BC44" i="2" s="1"/>
  <c r="AQ51" i="2"/>
  <c r="AT51" i="2" s="1"/>
  <c r="AQ13" i="2"/>
  <c r="AT13" i="2" s="1"/>
  <c r="BB13" i="2" s="1"/>
  <c r="BC13" i="2" s="1"/>
  <c r="AP55" i="2"/>
  <c r="AP69" i="2"/>
  <c r="AR59" i="2"/>
  <c r="AV59" i="2" s="1"/>
  <c r="AR68" i="2"/>
  <c r="AV68" i="2" s="1"/>
  <c r="AP60" i="2"/>
  <c r="AQ45" i="2"/>
  <c r="AT45" i="2" s="1"/>
  <c r="BB45" i="2" s="1"/>
  <c r="BC45" i="2" s="1"/>
  <c r="AR23" i="2"/>
  <c r="AV23" i="2" s="1"/>
  <c r="AR57" i="2"/>
  <c r="AV57" i="2" s="1"/>
  <c r="AR19" i="2"/>
  <c r="AV19" i="2" s="1"/>
  <c r="AP63" i="2"/>
  <c r="AR64" i="2"/>
  <c r="AV64" i="2" s="1"/>
  <c r="AQ25" i="2"/>
  <c r="AT25" i="2" s="1"/>
  <c r="AQ34" i="2"/>
  <c r="AT34" i="2" s="1"/>
  <c r="BB34" i="2" s="1"/>
  <c r="BC34" i="2" s="1"/>
  <c r="AP31" i="2"/>
  <c r="AP68" i="2"/>
  <c r="AP34" i="2"/>
  <c r="AP59" i="2"/>
  <c r="AQ59" i="2"/>
  <c r="AT59" i="2" s="1"/>
  <c r="AO28" i="2"/>
  <c r="AR24" i="2"/>
  <c r="AV24" i="2" s="1"/>
  <c r="AQ68" i="2"/>
  <c r="AT68" i="2" s="1"/>
  <c r="AQ66" i="2"/>
  <c r="AT66" i="2" s="1"/>
  <c r="AP54" i="2"/>
  <c r="AQ12" i="2"/>
  <c r="AT12" i="2" s="1"/>
  <c r="AP24" i="2"/>
  <c r="AR51" i="2"/>
  <c r="AV51" i="2" s="1"/>
  <c r="AQ53" i="2"/>
  <c r="AT53" i="2" s="1"/>
  <c r="AQ33" i="2"/>
  <c r="AT33" i="2" s="1"/>
  <c r="BB33" i="2" s="1"/>
  <c r="BC33" i="2" s="1"/>
  <c r="AQ62" i="2"/>
  <c r="AT62" i="2" s="1"/>
  <c r="BB62" i="2" s="1"/>
  <c r="BC62" i="2" s="1"/>
  <c r="AP19" i="2"/>
  <c r="AQ63" i="2"/>
  <c r="AT63" i="2" s="1"/>
  <c r="AQ67" i="2"/>
  <c r="AT67" i="2" s="1"/>
  <c r="AR66" i="2"/>
  <c r="AV66" i="2" s="1"/>
  <c r="AP66" i="2"/>
  <c r="AP13" i="2"/>
  <c r="AQ27" i="2"/>
  <c r="AT27" i="2" s="1"/>
  <c r="BB27" i="2" s="1"/>
  <c r="BC27" i="2" s="1"/>
  <c r="AQ55" i="2"/>
  <c r="AT55" i="2" s="1"/>
  <c r="BB55" i="2" s="1"/>
  <c r="BC55" i="2" s="1"/>
  <c r="AP16" i="2"/>
  <c r="AR41" i="2"/>
  <c r="AV41" i="2" s="1"/>
  <c r="AQ69" i="2"/>
  <c r="AT69" i="2" s="1"/>
  <c r="AP26" i="2"/>
  <c r="AQ46" i="2"/>
  <c r="AT46" i="2" s="1"/>
  <c r="BB46" i="2" s="1"/>
  <c r="BC46" i="2" s="1"/>
  <c r="AQ21" i="2"/>
  <c r="AT21" i="2" s="1"/>
  <c r="AQ39" i="2"/>
  <c r="AT39" i="2" s="1"/>
  <c r="AQ23" i="2"/>
  <c r="AT23" i="2" s="1"/>
  <c r="AP9" i="2"/>
  <c r="AP20" i="2"/>
  <c r="AQ43" i="2"/>
  <c r="AT43" i="2" s="1"/>
  <c r="BB43" i="2" s="1"/>
  <c r="BC43" i="2" s="1"/>
  <c r="AR18" i="2"/>
  <c r="AV18" i="2" s="1"/>
  <c r="AQ57" i="2"/>
  <c r="AT57" i="2" s="1"/>
  <c r="AP47" i="2"/>
  <c r="AP50" i="2"/>
  <c r="AP44" i="2"/>
  <c r="AQ54" i="2"/>
  <c r="AT54" i="2" s="1"/>
  <c r="BB54" i="2" s="1"/>
  <c r="BC54" i="2" s="1"/>
  <c r="AP67" i="2"/>
  <c r="AP17" i="2"/>
  <c r="AQ35" i="2"/>
  <c r="AT35" i="2" s="1"/>
  <c r="BB35" i="2" s="1"/>
  <c r="BC35" i="2" s="1"/>
  <c r="AQ60" i="2"/>
  <c r="AT60" i="2" s="1"/>
  <c r="AQ30" i="2"/>
  <c r="AT30" i="2" s="1"/>
  <c r="BB30" i="2" s="1"/>
  <c r="BC30" i="2" s="1"/>
  <c r="AP45" i="2"/>
  <c r="AP12" i="2"/>
  <c r="AQ38" i="2"/>
  <c r="AT38" i="2" s="1"/>
  <c r="AP36" i="2"/>
  <c r="AP42" i="2"/>
  <c r="AP64" i="2"/>
  <c r="AR25" i="2"/>
  <c r="AV25" i="2" s="1"/>
  <c r="AQ31" i="2"/>
  <c r="AT31" i="2" s="1"/>
  <c r="BB31" i="2" s="1"/>
  <c r="BC31" i="2" s="1"/>
  <c r="AQ9" i="2"/>
  <c r="AT9" i="2" s="1"/>
  <c r="BB9" i="2" s="1"/>
  <c r="BC9" i="2" s="1"/>
  <c r="AR42" i="2"/>
  <c r="AV42" i="2" s="1"/>
  <c r="AQ17" i="2"/>
  <c r="AT17" i="2" s="1"/>
  <c r="BB17" i="2" s="1"/>
  <c r="BC17" i="2" s="1"/>
  <c r="AP25" i="2"/>
  <c r="AP23" i="2"/>
  <c r="AR63" i="2"/>
  <c r="AV63" i="2" s="1"/>
  <c r="AR38" i="2"/>
  <c r="AV38" i="2" s="1"/>
  <c r="BB38" i="2" s="1"/>
  <c r="BC38" i="2" s="1"/>
  <c r="AR21" i="2"/>
  <c r="AV21" i="2" s="1"/>
  <c r="AP18" i="2"/>
  <c r="AP43" i="2"/>
  <c r="AQ19" i="2"/>
  <c r="AT19" i="2" s="1"/>
  <c r="AP21" i="2"/>
  <c r="AP57" i="2"/>
  <c r="AQ47" i="2"/>
  <c r="AT47" i="2" s="1"/>
  <c r="AP51" i="2"/>
  <c r="AR36" i="2"/>
  <c r="AV36" i="2" s="1"/>
  <c r="AQ18" i="2"/>
  <c r="AT18" i="2" s="1"/>
  <c r="AQ20" i="2"/>
  <c r="AT20" i="2" s="1"/>
  <c r="BB20" i="2" s="1"/>
  <c r="BC20" i="2" s="1"/>
  <c r="AR67" i="2"/>
  <c r="AV67" i="2" s="1"/>
  <c r="AP53" i="2"/>
  <c r="AQ50" i="2"/>
  <c r="AT50" i="2" s="1"/>
  <c r="BB50" i="2" s="1"/>
  <c r="BC50" i="2" s="1"/>
  <c r="AP39" i="2"/>
  <c r="AQ42" i="2"/>
  <c r="AT42" i="2" s="1"/>
  <c r="AP33" i="2"/>
  <c r="AQ64" i="2"/>
  <c r="AT64" i="2" s="1"/>
  <c r="AR16" i="2"/>
  <c r="AV16" i="2" s="1"/>
  <c r="AP27" i="2"/>
  <c r="AQ36" i="2"/>
  <c r="AT36" i="2" s="1"/>
  <c r="AR69" i="2"/>
  <c r="AV69" i="2" s="1"/>
  <c r="AQ16" i="2"/>
  <c r="AT16" i="2" s="1"/>
  <c r="AR26" i="2"/>
  <c r="AV26" i="2" s="1"/>
  <c r="AQ26" i="2"/>
  <c r="AT26" i="2" s="1"/>
  <c r="AP46" i="2"/>
  <c r="AP35" i="2"/>
  <c r="AP30" i="2"/>
  <c r="AP38" i="2"/>
  <c r="AR60" i="2"/>
  <c r="AV60" i="2" s="1"/>
  <c r="AQ41" i="2"/>
  <c r="AT41" i="2" s="1"/>
  <c r="AP41" i="2"/>
  <c r="AP15" i="2"/>
  <c r="AQ15" i="2"/>
  <c r="AT15" i="2" s="1"/>
  <c r="AR15" i="2"/>
  <c r="AV15" i="2" s="1"/>
  <c r="AP10" i="2"/>
  <c r="AQ10" i="2"/>
  <c r="AT10" i="2" s="1"/>
  <c r="AP11" i="2"/>
  <c r="AQ11" i="2"/>
  <c r="AT11" i="2" s="1"/>
  <c r="BB11" i="2" s="1"/>
  <c r="BC11" i="2" s="1"/>
  <c r="AP22" i="2"/>
  <c r="AQ22" i="2"/>
  <c r="AT22" i="2" s="1"/>
  <c r="AR22" i="2"/>
  <c r="AV22" i="2" s="1"/>
  <c r="AP14" i="2"/>
  <c r="AR14" i="2"/>
  <c r="AV14" i="2" s="1"/>
  <c r="AQ14" i="2"/>
  <c r="AT14" i="2" s="1"/>
  <c r="AP29" i="2"/>
  <c r="AQ29" i="2"/>
  <c r="AT29" i="2" s="1"/>
  <c r="BB29" i="2" s="1"/>
  <c r="BC29" i="2" s="1"/>
  <c r="AP40" i="2"/>
  <c r="AQ40" i="2"/>
  <c r="AT40" i="2" s="1"/>
  <c r="AR40" i="2"/>
  <c r="AV40" i="2" s="1"/>
  <c r="AQ37" i="2"/>
  <c r="AT37" i="2" s="1"/>
  <c r="AR37" i="2"/>
  <c r="AV37" i="2" s="1"/>
  <c r="AP37" i="2"/>
  <c r="AP52" i="2"/>
  <c r="AQ52" i="2"/>
  <c r="AT52" i="2" s="1"/>
  <c r="BB52" i="2" s="1"/>
  <c r="BC52" i="2" s="1"/>
  <c r="AQ61" i="2"/>
  <c r="AT61" i="2" s="1"/>
  <c r="BB61" i="2" s="1"/>
  <c r="BC61" i="2" s="1"/>
  <c r="AP61" i="2"/>
  <c r="AP49" i="2"/>
  <c r="AQ49" i="2"/>
  <c r="AT49" i="2" s="1"/>
  <c r="AR56" i="2"/>
  <c r="AV56" i="2" s="1"/>
  <c r="AQ56" i="2"/>
  <c r="AT56" i="2" s="1"/>
  <c r="AP56" i="2"/>
  <c r="AP65" i="2"/>
  <c r="AQ65" i="2"/>
  <c r="AT65" i="2" s="1"/>
  <c r="AR65" i="2"/>
  <c r="AV65" i="2" s="1"/>
  <c r="BB47" i="2" l="1"/>
  <c r="BC47" i="2" s="1"/>
  <c r="BB49" i="2"/>
  <c r="BC49" i="2" s="1"/>
  <c r="BB12" i="2"/>
  <c r="BC12" i="2" s="1"/>
  <c r="BB39" i="2"/>
  <c r="BC39" i="2" s="1"/>
  <c r="AP32" i="2"/>
  <c r="BB10" i="2"/>
  <c r="BC10" i="2" s="1"/>
  <c r="AQ28" i="2"/>
  <c r="AT28" i="2" s="1"/>
  <c r="BB21" i="2"/>
  <c r="BC21" i="2" s="1"/>
  <c r="AQ48" i="2"/>
  <c r="AT48" i="2" s="1"/>
  <c r="BB48" i="2" s="1"/>
  <c r="BC48" i="2" s="1"/>
  <c r="AP48" i="2"/>
  <c r="BB51" i="2"/>
  <c r="BC51" i="2" s="1"/>
  <c r="BB59" i="2"/>
  <c r="BC59" i="2" s="1"/>
  <c r="AP28" i="2"/>
  <c r="BB23" i="2"/>
  <c r="BC23" i="2" s="1"/>
  <c r="BB68" i="2"/>
  <c r="BC68" i="2" s="1"/>
  <c r="BB36" i="2"/>
  <c r="BC36" i="2" s="1"/>
  <c r="BB41" i="2"/>
  <c r="BC41" i="2" s="1"/>
  <c r="BB64" i="2"/>
  <c r="BC64" i="2" s="1"/>
  <c r="BB24" i="2"/>
  <c r="BC24" i="2" s="1"/>
  <c r="BB19" i="2"/>
  <c r="BC19" i="2" s="1"/>
  <c r="BB16" i="2"/>
  <c r="BC16" i="2" s="1"/>
  <c r="BB53" i="2"/>
  <c r="BC53" i="2" s="1"/>
  <c r="BB25" i="2"/>
  <c r="BC25" i="2" s="1"/>
  <c r="BB57" i="2"/>
  <c r="BC57" i="2" s="1"/>
  <c r="AQ32" i="2"/>
  <c r="AT32" i="2" s="1"/>
  <c r="BB32" i="2" s="1"/>
  <c r="BC32" i="2" s="1"/>
  <c r="AR28" i="2"/>
  <c r="AV28" i="2" s="1"/>
  <c r="BB66" i="2"/>
  <c r="BC66" i="2" s="1"/>
  <c r="BB18" i="2"/>
  <c r="BC18" i="2" s="1"/>
  <c r="BB42" i="2"/>
  <c r="BC42" i="2" s="1"/>
  <c r="BB60" i="2"/>
  <c r="BC60" i="2" s="1"/>
  <c r="BB67" i="2"/>
  <c r="BC67" i="2" s="1"/>
  <c r="BB63" i="2"/>
  <c r="BC63" i="2" s="1"/>
  <c r="BB69" i="2"/>
  <c r="BC69" i="2" s="1"/>
  <c r="BB65" i="2"/>
  <c r="BC65" i="2" s="1"/>
  <c r="BB40" i="2"/>
  <c r="BC40" i="2" s="1"/>
  <c r="BB22" i="2"/>
  <c r="BC22" i="2" s="1"/>
  <c r="BB26" i="2"/>
  <c r="BC26" i="2" s="1"/>
  <c r="BB37" i="2"/>
  <c r="BC37" i="2" s="1"/>
  <c r="BB15" i="2"/>
  <c r="BC15" i="2" s="1"/>
  <c r="BB56" i="2"/>
  <c r="BC56" i="2" s="1"/>
  <c r="BB14" i="2"/>
  <c r="BC14" i="2" s="1"/>
  <c r="BB28" i="2" l="1"/>
  <c r="BC28" i="2" s="1"/>
  <c r="V45" i="3"/>
  <c r="Y45" i="3"/>
  <c r="X45" i="3"/>
  <c r="W45" i="3"/>
  <c r="U45" i="3"/>
  <c r="T45" i="3"/>
  <c r="X44" i="3"/>
  <c r="T44" i="3"/>
  <c r="W43" i="3"/>
  <c r="Y43" i="3"/>
  <c r="T43" i="3"/>
  <c r="X42" i="3"/>
  <c r="W42" i="3"/>
  <c r="V42" i="3"/>
  <c r="T42" i="3"/>
  <c r="Y39" i="3"/>
  <c r="X39" i="3"/>
  <c r="W39" i="3"/>
  <c r="V39" i="3"/>
  <c r="U39" i="3"/>
  <c r="T39" i="3"/>
  <c r="T38" i="3"/>
  <c r="X37" i="3"/>
  <c r="V37" i="3"/>
  <c r="T37" i="3"/>
  <c r="X36" i="3"/>
  <c r="T36" i="3"/>
  <c r="Y35" i="3"/>
  <c r="W35" i="3"/>
  <c r="U35" i="3"/>
  <c r="T35" i="3"/>
  <c r="X34" i="3"/>
  <c r="T34" i="3"/>
  <c r="Y33" i="3"/>
  <c r="T33" i="3"/>
  <c r="Y32" i="3"/>
  <c r="W32" i="3"/>
  <c r="V32" i="3"/>
  <c r="U32" i="3"/>
  <c r="T32" i="3"/>
  <c r="Y31" i="3"/>
  <c r="X31" i="3"/>
  <c r="W31" i="3"/>
  <c r="V31" i="3"/>
  <c r="U31" i="3"/>
  <c r="T31" i="3"/>
  <c r="X30" i="3"/>
  <c r="V30" i="3"/>
  <c r="U30" i="3"/>
  <c r="T30" i="3"/>
  <c r="Y29" i="3"/>
  <c r="W29" i="3"/>
  <c r="T29" i="3"/>
  <c r="V28" i="3"/>
  <c r="Y28" i="3"/>
  <c r="X28" i="3"/>
  <c r="W28" i="3"/>
  <c r="U28" i="3"/>
  <c r="T28" i="3"/>
  <c r="Y27" i="3"/>
  <c r="X27" i="3"/>
  <c r="V27" i="3"/>
  <c r="T27" i="3"/>
  <c r="Y26" i="3"/>
  <c r="W26" i="3"/>
  <c r="V26" i="3"/>
  <c r="U26" i="3"/>
  <c r="T26" i="3"/>
  <c r="X25" i="3"/>
  <c r="T25" i="3"/>
  <c r="V24" i="3"/>
  <c r="Y24" i="3"/>
  <c r="X24" i="3"/>
  <c r="W24" i="3"/>
  <c r="U24" i="3"/>
  <c r="T24" i="3"/>
  <c r="T23" i="3"/>
  <c r="U22" i="3"/>
  <c r="Y22" i="3"/>
  <c r="W22" i="3"/>
  <c r="V22" i="3"/>
  <c r="T22" i="3"/>
  <c r="V21" i="3"/>
  <c r="X21" i="3"/>
  <c r="W21" i="3"/>
  <c r="T21" i="3"/>
  <c r="Y20" i="3"/>
  <c r="X20" i="3"/>
  <c r="W20" i="3"/>
  <c r="V20" i="3"/>
  <c r="U20" i="3"/>
  <c r="T20" i="3"/>
  <c r="T19" i="3"/>
  <c r="T18" i="3"/>
  <c r="X17" i="3"/>
  <c r="W17" i="3"/>
  <c r="T17" i="3"/>
  <c r="Y16" i="3"/>
  <c r="X16" i="3"/>
  <c r="W16" i="3"/>
  <c r="V16" i="3"/>
  <c r="U16" i="3"/>
  <c r="T16" i="3"/>
  <c r="W15" i="3"/>
  <c r="U15" i="3"/>
  <c r="T15" i="3"/>
  <c r="U14" i="3"/>
  <c r="T14" i="3"/>
  <c r="X13" i="3"/>
  <c r="W13" i="3"/>
  <c r="V13" i="3"/>
  <c r="T13" i="3"/>
  <c r="V12" i="3"/>
  <c r="Y12" i="3"/>
  <c r="X12" i="3"/>
  <c r="W12" i="3"/>
  <c r="U12" i="3"/>
  <c r="T12" i="3"/>
  <c r="W11" i="3"/>
  <c r="Y11" i="3"/>
  <c r="X11" i="3"/>
  <c r="V11" i="3"/>
  <c r="T11" i="3"/>
  <c r="Y10" i="3"/>
  <c r="X10" i="3"/>
  <c r="U10" i="3"/>
  <c r="T10" i="3"/>
  <c r="Y9" i="3"/>
  <c r="V9" i="3"/>
  <c r="U9" i="3"/>
  <c r="T9" i="3"/>
  <c r="T8" i="3"/>
  <c r="V7" i="3"/>
  <c r="Y7" i="3"/>
  <c r="X7" i="3"/>
  <c r="W7" i="3"/>
  <c r="U7" i="3"/>
  <c r="T7" i="3"/>
  <c r="AB31" i="3" l="1"/>
  <c r="AD28" i="3"/>
  <c r="AC39" i="3"/>
  <c r="AE20" i="3"/>
  <c r="AE28" i="3"/>
  <c r="AD42" i="3"/>
  <c r="AE45" i="3"/>
  <c r="AB7" i="3"/>
  <c r="AD11" i="3"/>
  <c r="AA16" i="3"/>
  <c r="AA12" i="3"/>
  <c r="AE32" i="3"/>
  <c r="AA35" i="3"/>
  <c r="AC37" i="3"/>
  <c r="AA7" i="3"/>
  <c r="AA32" i="3"/>
  <c r="AA20" i="3"/>
  <c r="AC25" i="3"/>
  <c r="AE16" i="3"/>
  <c r="AB28" i="3"/>
  <c r="AA14" i="3"/>
  <c r="AB20" i="3"/>
  <c r="AD12" i="3"/>
  <c r="AB32" i="3"/>
  <c r="AA24" i="3"/>
  <c r="AE10" i="3"/>
  <c r="AE22" i="3"/>
  <c r="AD24" i="3"/>
  <c r="AE24" i="3"/>
  <c r="AB26" i="3"/>
  <c r="AB16" i="3"/>
  <c r="AC21" i="3"/>
  <c r="AB24" i="3"/>
  <c r="AC28" i="3"/>
  <c r="AC42" i="3"/>
  <c r="AE12" i="3"/>
  <c r="AC17" i="3"/>
  <c r="AB21" i="3"/>
  <c r="AA28" i="3"/>
  <c r="AB37" i="3"/>
  <c r="AB12" i="3"/>
  <c r="AD30" i="3"/>
  <c r="AE31" i="3"/>
  <c r="AE39" i="3"/>
  <c r="AA9" i="3"/>
  <c r="AA22" i="3"/>
  <c r="AC34" i="3"/>
  <c r="AE43" i="3"/>
  <c r="AA45" i="3"/>
  <c r="AE29" i="3"/>
  <c r="AB9" i="3"/>
  <c r="AE7" i="3"/>
  <c r="AE9" i="3"/>
  <c r="AB11" i="3"/>
  <c r="AA26" i="3"/>
  <c r="AA31" i="3"/>
  <c r="AA39" i="3"/>
  <c r="AB42" i="3"/>
  <c r="AD45" i="3"/>
  <c r="AE33" i="3"/>
  <c r="AD44" i="3"/>
  <c r="AB45" i="3"/>
  <c r="AA10" i="3"/>
  <c r="AB22" i="3"/>
  <c r="AE26" i="3"/>
  <c r="AD31" i="3"/>
  <c r="AE35" i="3"/>
  <c r="AD39" i="3"/>
  <c r="AD27" i="3"/>
  <c r="AC44" i="3"/>
  <c r="AB39" i="3"/>
  <c r="AC45" i="3"/>
  <c r="AD25" i="3"/>
  <c r="AD34" i="3"/>
  <c r="AC10" i="3"/>
  <c r="AD10" i="3"/>
  <c r="Y23" i="3"/>
  <c r="AE23" i="3" s="1"/>
  <c r="W23" i="3"/>
  <c r="X23" i="3"/>
  <c r="V23" i="3"/>
  <c r="AB23" i="3" s="1"/>
  <c r="U23" i="3"/>
  <c r="AA23" i="3" s="1"/>
  <c r="AB13" i="3"/>
  <c r="W19" i="3"/>
  <c r="U19" i="3"/>
  <c r="AA19" i="3" s="1"/>
  <c r="Y19" i="3"/>
  <c r="AE19" i="3" s="1"/>
  <c r="V19" i="3"/>
  <c r="AB19" i="3" s="1"/>
  <c r="X19" i="3"/>
  <c r="AD20" i="3"/>
  <c r="AC20" i="3"/>
  <c r="V8" i="3"/>
  <c r="AB8" i="3" s="1"/>
  <c r="U8" i="3"/>
  <c r="AA8" i="3" s="1"/>
  <c r="Y8" i="3"/>
  <c r="AE8" i="3" s="1"/>
  <c r="W8" i="3"/>
  <c r="X8" i="3"/>
  <c r="AD13" i="3"/>
  <c r="AB27" i="3"/>
  <c r="AD7" i="3"/>
  <c r="AC7" i="3"/>
  <c r="AB30" i="3"/>
  <c r="AC30" i="3"/>
  <c r="X18" i="3"/>
  <c r="U18" i="3"/>
  <c r="AA18" i="3" s="1"/>
  <c r="Y18" i="3"/>
  <c r="AE18" i="3" s="1"/>
  <c r="W18" i="3"/>
  <c r="V18" i="3"/>
  <c r="AB18" i="3" s="1"/>
  <c r="AD36" i="3"/>
  <c r="AC36" i="3"/>
  <c r="X14" i="3"/>
  <c r="W38" i="3"/>
  <c r="U38" i="3"/>
  <c r="AA38" i="3" s="1"/>
  <c r="Y25" i="3"/>
  <c r="AE25" i="3" s="1"/>
  <c r="W25" i="3"/>
  <c r="U25" i="3"/>
  <c r="AA25" i="3" s="1"/>
  <c r="V33" i="3"/>
  <c r="AB33" i="3" s="1"/>
  <c r="U34" i="3"/>
  <c r="AA34" i="3" s="1"/>
  <c r="Y34" i="3"/>
  <c r="AE34" i="3" s="1"/>
  <c r="U36" i="3"/>
  <c r="AA36" i="3" s="1"/>
  <c r="U43" i="3"/>
  <c r="AA43" i="3" s="1"/>
  <c r="Y44" i="3"/>
  <c r="AE44" i="3" s="1"/>
  <c r="W44" i="3"/>
  <c r="AC11" i="3"/>
  <c r="AD16" i="3"/>
  <c r="AD21" i="3"/>
  <c r="V10" i="3"/>
  <c r="AB10" i="3" s="1"/>
  <c r="W10" i="3"/>
  <c r="U11" i="3"/>
  <c r="AA11" i="3" s="1"/>
  <c r="AC12" i="3"/>
  <c r="Y17" i="3"/>
  <c r="AE17" i="3" s="1"/>
  <c r="U17" i="3"/>
  <c r="AA17" i="3" s="1"/>
  <c r="X29" i="3"/>
  <c r="V29" i="3"/>
  <c r="AB29" i="3" s="1"/>
  <c r="AC31" i="3"/>
  <c r="X33" i="3"/>
  <c r="V36" i="3"/>
  <c r="AB36" i="3" s="1"/>
  <c r="Y37" i="3"/>
  <c r="AE37" i="3" s="1"/>
  <c r="W37" i="3"/>
  <c r="U37" i="3"/>
  <c r="AA37" i="3" s="1"/>
  <c r="AA30" i="3"/>
  <c r="X43" i="3"/>
  <c r="V43" i="3"/>
  <c r="AB43" i="3" s="1"/>
  <c r="V14" i="3"/>
  <c r="AB14" i="3" s="1"/>
  <c r="V15" i="3"/>
  <c r="AB15" i="3" s="1"/>
  <c r="AC16" i="3"/>
  <c r="AD17" i="3"/>
  <c r="U21" i="3"/>
  <c r="AA21" i="3" s="1"/>
  <c r="Y21" i="3"/>
  <c r="AE21" i="3" s="1"/>
  <c r="AC24" i="3"/>
  <c r="AC27" i="3"/>
  <c r="AD37" i="3"/>
  <c r="V38" i="3"/>
  <c r="AB38" i="3" s="1"/>
  <c r="AA15" i="3"/>
  <c r="W33" i="3"/>
  <c r="U33" i="3"/>
  <c r="AA33" i="3" s="1"/>
  <c r="Y36" i="3"/>
  <c r="AE36" i="3" s="1"/>
  <c r="W36" i="3"/>
  <c r="W9" i="3"/>
  <c r="AE11" i="3"/>
  <c r="X9" i="3"/>
  <c r="AC13" i="3"/>
  <c r="W14" i="3"/>
  <c r="X15" i="3"/>
  <c r="X22" i="3"/>
  <c r="AE27" i="3"/>
  <c r="V34" i="3"/>
  <c r="AB34" i="3" s="1"/>
  <c r="X38" i="3"/>
  <c r="U42" i="3"/>
  <c r="AA42" i="3" s="1"/>
  <c r="Y42" i="3"/>
  <c r="AE42" i="3" s="1"/>
  <c r="U44" i="3"/>
  <c r="AA44" i="3" s="1"/>
  <c r="U13" i="3"/>
  <c r="AA13" i="3" s="1"/>
  <c r="Y13" i="3"/>
  <c r="AE13" i="3" s="1"/>
  <c r="Y14" i="3"/>
  <c r="AE14" i="3" s="1"/>
  <c r="Y15" i="3"/>
  <c r="AE15" i="3" s="1"/>
  <c r="V17" i="3"/>
  <c r="AB17" i="3" s="1"/>
  <c r="V25" i="3"/>
  <c r="AB25" i="3" s="1"/>
  <c r="W27" i="3"/>
  <c r="U27" i="3"/>
  <c r="AA27" i="3" s="1"/>
  <c r="U29" i="3"/>
  <c r="AA29" i="3" s="1"/>
  <c r="Y30" i="3"/>
  <c r="AE30" i="3" s="1"/>
  <c r="W30" i="3"/>
  <c r="W34" i="3"/>
  <c r="X35" i="3"/>
  <c r="V35" i="3"/>
  <c r="AB35" i="3" s="1"/>
  <c r="Y38" i="3"/>
  <c r="AE38" i="3" s="1"/>
  <c r="V44" i="3"/>
  <c r="AB44" i="3" s="1"/>
  <c r="X26" i="3"/>
  <c r="X32" i="3"/>
  <c r="M45" i="3"/>
  <c r="M44" i="3"/>
  <c r="M43" i="3"/>
  <c r="M42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AF28" i="3" l="1"/>
  <c r="AF31" i="3"/>
  <c r="AF24" i="3"/>
  <c r="AF12" i="3"/>
  <c r="AF20" i="3"/>
  <c r="AF39" i="3"/>
  <c r="AF45" i="3"/>
  <c r="AF16" i="3"/>
  <c r="AF10" i="3"/>
  <c r="AF44" i="3"/>
  <c r="AF27" i="3"/>
  <c r="AF25" i="3"/>
  <c r="AD43" i="3"/>
  <c r="AC43" i="3"/>
  <c r="AD23" i="3"/>
  <c r="AC23" i="3"/>
  <c r="AD26" i="3"/>
  <c r="AC26" i="3"/>
  <c r="AF42" i="3"/>
  <c r="AF21" i="3"/>
  <c r="AF30" i="3"/>
  <c r="AF37" i="3"/>
  <c r="AD29" i="3"/>
  <c r="AC29" i="3"/>
  <c r="AF36" i="3"/>
  <c r="AF7" i="3"/>
  <c r="AD35" i="3"/>
  <c r="AC35" i="3"/>
  <c r="AC38" i="3"/>
  <c r="AD38" i="3"/>
  <c r="AD22" i="3"/>
  <c r="AC22" i="3"/>
  <c r="AD8" i="3"/>
  <c r="AC8" i="3"/>
  <c r="AC15" i="3"/>
  <c r="AD15" i="3"/>
  <c r="AF34" i="3"/>
  <c r="AD9" i="3"/>
  <c r="AC9" i="3"/>
  <c r="AD19" i="3"/>
  <c r="AC19" i="3"/>
  <c r="AD32" i="3"/>
  <c r="AC32" i="3"/>
  <c r="AF11" i="3"/>
  <c r="AF17" i="3"/>
  <c r="AC14" i="3"/>
  <c r="AD14" i="3"/>
  <c r="AF13" i="3"/>
  <c r="AC33" i="3"/>
  <c r="AD33" i="3"/>
  <c r="AD18" i="3"/>
  <c r="AC18" i="3"/>
  <c r="T74" i="2"/>
  <c r="AS74" i="2"/>
  <c r="AX74" i="2"/>
  <c r="AY74" i="2"/>
  <c r="AZ74" i="2"/>
  <c r="BA74" i="2"/>
  <c r="BE74" i="2"/>
  <c r="BF74" i="2"/>
  <c r="R46" i="3"/>
  <c r="S46" i="3"/>
  <c r="AN46" i="3"/>
  <c r="AO46" i="3"/>
  <c r="AP46" i="3"/>
  <c r="AT46" i="3"/>
  <c r="AH12" i="3" l="1"/>
  <c r="AK12" i="3" s="1"/>
  <c r="AH27" i="3"/>
  <c r="AK27" i="3" s="1"/>
  <c r="AH45" i="3"/>
  <c r="AK45" i="3" s="1"/>
  <c r="AH44" i="3"/>
  <c r="AK44" i="3" s="1"/>
  <c r="AH39" i="3"/>
  <c r="AK39" i="3" s="1"/>
  <c r="AH10" i="3"/>
  <c r="AK10" i="3" s="1"/>
  <c r="AG28" i="3"/>
  <c r="AI28" i="3" s="1"/>
  <c r="AH28" i="3"/>
  <c r="AK28" i="3" s="1"/>
  <c r="AH24" i="3"/>
  <c r="AK24" i="3" s="1"/>
  <c r="AG16" i="3"/>
  <c r="AI16" i="3" s="1"/>
  <c r="AH31" i="3"/>
  <c r="AK31" i="3" s="1"/>
  <c r="AG20" i="3"/>
  <c r="AI20" i="3" s="1"/>
  <c r="AG24" i="3"/>
  <c r="AI24" i="3" s="1"/>
  <c r="AG31" i="3"/>
  <c r="AI31" i="3" s="1"/>
  <c r="AG12" i="3"/>
  <c r="AI12" i="3" s="1"/>
  <c r="AQ12" i="3" s="1"/>
  <c r="AR12" i="3" s="1"/>
  <c r="AG39" i="3"/>
  <c r="AI39" i="3" s="1"/>
  <c r="AG27" i="3"/>
  <c r="AI27" i="3" s="1"/>
  <c r="AH20" i="3"/>
  <c r="AK20" i="3" s="1"/>
  <c r="AF23" i="3"/>
  <c r="AF22" i="3"/>
  <c r="AG44" i="3"/>
  <c r="AI44" i="3" s="1"/>
  <c r="AF43" i="3"/>
  <c r="AF14" i="3"/>
  <c r="AF15" i="3"/>
  <c r="AF29" i="3"/>
  <c r="AH16" i="3"/>
  <c r="AK16" i="3" s="1"/>
  <c r="AF8" i="3"/>
  <c r="AG45" i="3"/>
  <c r="AI45" i="3" s="1"/>
  <c r="AF38" i="3"/>
  <c r="AF33" i="3"/>
  <c r="AG10" i="3"/>
  <c r="AI10" i="3" s="1"/>
  <c r="AF18" i="3"/>
  <c r="AF19" i="3"/>
  <c r="AF35" i="3"/>
  <c r="AG30" i="3"/>
  <c r="AI30" i="3" s="1"/>
  <c r="AH30" i="3"/>
  <c r="AK30" i="3" s="1"/>
  <c r="AH7" i="3"/>
  <c r="AK7" i="3" s="1"/>
  <c r="AG7" i="3"/>
  <c r="AI7" i="3" s="1"/>
  <c r="AG21" i="3"/>
  <c r="AI21" i="3" s="1"/>
  <c r="AH21" i="3"/>
  <c r="AK21" i="3" s="1"/>
  <c r="AG17" i="3"/>
  <c r="AI17" i="3" s="1"/>
  <c r="AH17" i="3"/>
  <c r="AK17" i="3" s="1"/>
  <c r="AG13" i="3"/>
  <c r="AI13" i="3" s="1"/>
  <c r="AH13" i="3"/>
  <c r="AK13" i="3" s="1"/>
  <c r="AF9" i="3"/>
  <c r="AG34" i="3"/>
  <c r="AI34" i="3" s="1"/>
  <c r="AH34" i="3"/>
  <c r="AK34" i="3" s="1"/>
  <c r="AG36" i="3"/>
  <c r="AI36" i="3" s="1"/>
  <c r="AH36" i="3"/>
  <c r="AK36" i="3" s="1"/>
  <c r="AG42" i="3"/>
  <c r="AI42" i="3" s="1"/>
  <c r="AH42" i="3"/>
  <c r="AK42" i="3" s="1"/>
  <c r="AH11" i="3"/>
  <c r="AK11" i="3" s="1"/>
  <c r="AG11" i="3"/>
  <c r="AI11" i="3" s="1"/>
  <c r="AF26" i="3"/>
  <c r="AG25" i="3"/>
  <c r="AI25" i="3" s="1"/>
  <c r="AH25" i="3"/>
  <c r="AK25" i="3" s="1"/>
  <c r="AF32" i="3"/>
  <c r="AG37" i="3"/>
  <c r="AI37" i="3" s="1"/>
  <c r="AH37" i="3"/>
  <c r="AK37" i="3" s="1"/>
  <c r="S74" i="2"/>
  <c r="Q74" i="2"/>
  <c r="P74" i="2"/>
  <c r="AQ27" i="3" l="1"/>
  <c r="AR27" i="3" s="1"/>
  <c r="AQ44" i="3"/>
  <c r="AR44" i="3" s="1"/>
  <c r="AQ45" i="3"/>
  <c r="AR45" i="3" s="1"/>
  <c r="AQ39" i="3"/>
  <c r="AR39" i="3" s="1"/>
  <c r="AQ28" i="3"/>
  <c r="AR28" i="3" s="1"/>
  <c r="AH38" i="3"/>
  <c r="AK38" i="3" s="1"/>
  <c r="AH15" i="3"/>
  <c r="AK15" i="3" s="1"/>
  <c r="AQ10" i="3"/>
  <c r="AR10" i="3" s="1"/>
  <c r="AG14" i="3"/>
  <c r="AI14" i="3" s="1"/>
  <c r="AH23" i="3"/>
  <c r="AK23" i="3" s="1"/>
  <c r="AG43" i="3"/>
  <c r="AI43" i="3" s="1"/>
  <c r="AQ31" i="3"/>
  <c r="AR31" i="3" s="1"/>
  <c r="AQ16" i="3"/>
  <c r="AR16" i="3" s="1"/>
  <c r="AH22" i="3"/>
  <c r="AK22" i="3" s="1"/>
  <c r="AQ24" i="3"/>
  <c r="AR24" i="3" s="1"/>
  <c r="AH19" i="3"/>
  <c r="AK19" i="3" s="1"/>
  <c r="AG23" i="3"/>
  <c r="AI23" i="3" s="1"/>
  <c r="AH18" i="3"/>
  <c r="AK18" i="3" s="1"/>
  <c r="AH29" i="3"/>
  <c r="AK29" i="3" s="1"/>
  <c r="AQ20" i="3"/>
  <c r="AR20" i="3" s="1"/>
  <c r="AH35" i="3"/>
  <c r="AK35" i="3" s="1"/>
  <c r="AH33" i="3"/>
  <c r="AK33" i="3" s="1"/>
  <c r="AH8" i="3"/>
  <c r="AK8" i="3" s="1"/>
  <c r="AG22" i="3"/>
  <c r="AI22" i="3" s="1"/>
  <c r="AG35" i="3"/>
  <c r="AI35" i="3" s="1"/>
  <c r="AH43" i="3"/>
  <c r="AK43" i="3" s="1"/>
  <c r="AG33" i="3"/>
  <c r="AI33" i="3" s="1"/>
  <c r="AH14" i="3"/>
  <c r="AK14" i="3" s="1"/>
  <c r="AG29" i="3"/>
  <c r="AI29" i="3" s="1"/>
  <c r="AQ36" i="3"/>
  <c r="AR36" i="3" s="1"/>
  <c r="AQ37" i="3"/>
  <c r="AR37" i="3" s="1"/>
  <c r="AQ7" i="3"/>
  <c r="AR7" i="3" s="1"/>
  <c r="AG19" i="3"/>
  <c r="AI19" i="3" s="1"/>
  <c r="AQ25" i="3"/>
  <c r="AR25" i="3" s="1"/>
  <c r="AG18" i="3"/>
  <c r="AI18" i="3" s="1"/>
  <c r="AG8" i="3"/>
  <c r="AI8" i="3" s="1"/>
  <c r="AG15" i="3"/>
  <c r="AI15" i="3" s="1"/>
  <c r="AQ42" i="3"/>
  <c r="AR42" i="3" s="1"/>
  <c r="AQ30" i="3"/>
  <c r="AR30" i="3" s="1"/>
  <c r="AQ11" i="3"/>
  <c r="AR11" i="3" s="1"/>
  <c r="AQ13" i="3"/>
  <c r="AR13" i="3" s="1"/>
  <c r="AQ21" i="3"/>
  <c r="AR21" i="3" s="1"/>
  <c r="AG38" i="3"/>
  <c r="AI38" i="3" s="1"/>
  <c r="AQ17" i="3"/>
  <c r="AR17" i="3" s="1"/>
  <c r="AQ34" i="3"/>
  <c r="AR34" i="3" s="1"/>
  <c r="AH26" i="3"/>
  <c r="AK26" i="3" s="1"/>
  <c r="AG26" i="3"/>
  <c r="AI26" i="3" s="1"/>
  <c r="AG9" i="3"/>
  <c r="AI9" i="3" s="1"/>
  <c r="AH9" i="3"/>
  <c r="AK9" i="3" s="1"/>
  <c r="AH32" i="3"/>
  <c r="AK32" i="3" s="1"/>
  <c r="AG32" i="3"/>
  <c r="AI32" i="3" s="1"/>
  <c r="V74" i="2"/>
  <c r="R74" i="2"/>
  <c r="AQ43" i="3" l="1"/>
  <c r="AR43" i="3" s="1"/>
  <c r="AQ38" i="3"/>
  <c r="AR38" i="3" s="1"/>
  <c r="AQ14" i="3"/>
  <c r="AR14" i="3" s="1"/>
  <c r="AQ15" i="3"/>
  <c r="AR15" i="3" s="1"/>
  <c r="AQ23" i="3"/>
  <c r="AR23" i="3" s="1"/>
  <c r="AQ35" i="3"/>
  <c r="AR35" i="3" s="1"/>
  <c r="AQ8" i="3"/>
  <c r="AR8" i="3" s="1"/>
  <c r="AQ22" i="3"/>
  <c r="AR22" i="3" s="1"/>
  <c r="AQ19" i="3"/>
  <c r="AR19" i="3" s="1"/>
  <c r="AQ29" i="3"/>
  <c r="AR29" i="3" s="1"/>
  <c r="AQ33" i="3"/>
  <c r="AR33" i="3" s="1"/>
  <c r="AQ18" i="3"/>
  <c r="AR18" i="3" s="1"/>
  <c r="AQ9" i="3"/>
  <c r="AR9" i="3" s="1"/>
  <c r="AQ32" i="3"/>
  <c r="AR32" i="3" s="1"/>
  <c r="AQ26" i="3"/>
  <c r="AR26" i="3" s="1"/>
  <c r="N16" i="5" l="1"/>
  <c r="O16" i="5"/>
  <c r="P16" i="5"/>
  <c r="Q16" i="5"/>
  <c r="S16" i="5"/>
  <c r="AM16" i="5"/>
  <c r="AN16" i="5"/>
  <c r="AO16" i="5"/>
  <c r="AP16" i="5"/>
  <c r="AQ16" i="5"/>
  <c r="AU16" i="5"/>
  <c r="AV16" i="5"/>
  <c r="M16" i="5"/>
  <c r="AW5" i="5"/>
  <c r="AW6" i="5"/>
  <c r="AW16" i="5" l="1"/>
  <c r="AX6" i="5" l="1"/>
  <c r="AR6" i="5"/>
  <c r="T6" i="5"/>
  <c r="L6" i="5"/>
  <c r="AX5" i="5"/>
  <c r="AR5" i="5"/>
  <c r="AC5" i="5"/>
  <c r="T5" i="5"/>
  <c r="AK5" i="5" s="1"/>
  <c r="L5" i="5"/>
  <c r="W8" i="2"/>
  <c r="W7" i="2"/>
  <c r="W6" i="2"/>
  <c r="BG5" i="2"/>
  <c r="W5" i="2"/>
  <c r="O5" i="2"/>
  <c r="AK7" i="2" l="1"/>
  <c r="AH7" i="2"/>
  <c r="AJ7" i="2"/>
  <c r="AI7" i="2"/>
  <c r="AL7" i="2"/>
  <c r="AJ8" i="2"/>
  <c r="AI8" i="2"/>
  <c r="AK8" i="2"/>
  <c r="AL8" i="2"/>
  <c r="AH8" i="2"/>
  <c r="AI6" i="2"/>
  <c r="AL6" i="2"/>
  <c r="AH6" i="2"/>
  <c r="AK6" i="2"/>
  <c r="AJ6" i="2"/>
  <c r="V5" i="5"/>
  <c r="Y7" i="2"/>
  <c r="AN7" i="2"/>
  <c r="Y6" i="2"/>
  <c r="AN6" i="2"/>
  <c r="Y8" i="2"/>
  <c r="AN8" i="2"/>
  <c r="Z74" i="2"/>
  <c r="AX16" i="5"/>
  <c r="BG74" i="2"/>
  <c r="U74" i="2"/>
  <c r="W74" i="2"/>
  <c r="R16" i="5"/>
  <c r="T16" i="5"/>
  <c r="W16" i="5"/>
  <c r="AR16" i="5"/>
  <c r="BH5" i="2"/>
  <c r="AD5" i="2"/>
  <c r="AK5" i="2" s="1"/>
  <c r="X6" i="2"/>
  <c r="AM6" i="2" s="1"/>
  <c r="X5" i="2"/>
  <c r="Y5" i="2"/>
  <c r="X7" i="2"/>
  <c r="AM7" i="2" s="1"/>
  <c r="V6" i="5"/>
  <c r="U6" i="5"/>
  <c r="U5" i="5"/>
  <c r="AJ5" i="5" s="1"/>
  <c r="AC6" i="5"/>
  <c r="AK6" i="5" s="1"/>
  <c r="X8" i="2"/>
  <c r="AM8" i="2" s="1"/>
  <c r="AF5" i="2"/>
  <c r="AJ6" i="5" l="1"/>
  <c r="AM5" i="2"/>
  <c r="AO8" i="2"/>
  <c r="AO7" i="2"/>
  <c r="AR5" i="2"/>
  <c r="AV5" i="2" s="1"/>
  <c r="AB5" i="2"/>
  <c r="AI5" i="2" s="1"/>
  <c r="AF74" i="2"/>
  <c r="BH74" i="2"/>
  <c r="AE5" i="2"/>
  <c r="AL5" i="2" s="1"/>
  <c r="AG74" i="2"/>
  <c r="Y74" i="2"/>
  <c r="X74" i="2"/>
  <c r="AA5" i="2"/>
  <c r="AH5" i="2" s="1"/>
  <c r="AC5" i="2"/>
  <c r="AJ5" i="2" s="1"/>
  <c r="U16" i="5"/>
  <c r="V16" i="5"/>
  <c r="AD16" i="5"/>
  <c r="AC16" i="5"/>
  <c r="AN5" i="2"/>
  <c r="Y5" i="5"/>
  <c r="AF5" i="5" s="1"/>
  <c r="Z5" i="5"/>
  <c r="AG5" i="5" s="1"/>
  <c r="AA5" i="5"/>
  <c r="AH5" i="5" s="1"/>
  <c r="X5" i="5"/>
  <c r="AE5" i="5" s="1"/>
  <c r="AB5" i="5"/>
  <c r="AI5" i="5" s="1"/>
  <c r="Z6" i="5"/>
  <c r="AG6" i="5" s="1"/>
  <c r="Y6" i="5"/>
  <c r="AF6" i="5" s="1"/>
  <c r="AA6" i="5"/>
  <c r="AH6" i="5" s="1"/>
  <c r="X6" i="5"/>
  <c r="AE6" i="5" s="1"/>
  <c r="AB6" i="5"/>
  <c r="AI6" i="5" s="1"/>
  <c r="AL6" i="5" l="1"/>
  <c r="AS6" i="5" s="1"/>
  <c r="AL5" i="5"/>
  <c r="AS5" i="5" s="1"/>
  <c r="AO6" i="2"/>
  <c r="AQ7" i="2"/>
  <c r="AT7" i="2" s="1"/>
  <c r="BB7" i="2" s="1"/>
  <c r="BC7" i="2" s="1"/>
  <c r="AP7" i="2"/>
  <c r="AQ8" i="2"/>
  <c r="AT8" i="2" s="1"/>
  <c r="BB8" i="2" s="1"/>
  <c r="BC8" i="2" s="1"/>
  <c r="AP8" i="2"/>
  <c r="AB74" i="2"/>
  <c r="AJ74" i="2"/>
  <c r="AC74" i="2"/>
  <c r="AA74" i="2"/>
  <c r="AE74" i="2"/>
  <c r="AD74" i="2"/>
  <c r="AN74" i="2"/>
  <c r="AH74" i="2"/>
  <c r="AL74" i="2"/>
  <c r="AI74" i="2"/>
  <c r="AM74" i="2"/>
  <c r="AK74" i="2"/>
  <c r="Y16" i="5"/>
  <c r="AB16" i="5"/>
  <c r="AA16" i="5"/>
  <c r="AJ16" i="5"/>
  <c r="Z16" i="5"/>
  <c r="AK16" i="5"/>
  <c r="X16" i="5"/>
  <c r="AH16" i="5"/>
  <c r="AI16" i="5"/>
  <c r="AF16" i="5"/>
  <c r="AG16" i="5"/>
  <c r="AE16" i="5"/>
  <c r="M6" i="3"/>
  <c r="AQ6" i="2" l="1"/>
  <c r="AT6" i="2" s="1"/>
  <c r="BB6" i="2" s="1"/>
  <c r="BC6" i="2" s="1"/>
  <c r="AP6" i="2"/>
  <c r="AO5" i="2"/>
  <c r="AL16" i="5"/>
  <c r="AQ5" i="2" l="1"/>
  <c r="AQ74" i="2" s="1"/>
  <c r="AO74" i="2"/>
  <c r="AP5" i="2"/>
  <c r="AV74" i="2"/>
  <c r="AR74" i="2"/>
  <c r="AS16" i="5"/>
  <c r="AT5" i="2" l="1"/>
  <c r="AT74" i="2" s="1"/>
  <c r="AP74" i="2"/>
  <c r="BB5" i="2" l="1"/>
  <c r="BB74" i="2" s="1"/>
  <c r="BC5" i="2" l="1"/>
  <c r="BC74" i="2" s="1"/>
  <c r="T6" i="3" l="1"/>
  <c r="T46" i="3" l="1"/>
  <c r="Z46" i="3" l="1"/>
  <c r="AV46" i="3" l="1"/>
  <c r="AW46" i="3" l="1"/>
  <c r="Y6" i="3"/>
  <c r="Y46" i="3" l="1"/>
  <c r="U6" i="3" l="1"/>
  <c r="V6" i="3"/>
  <c r="W6" i="3"/>
  <c r="X6" i="3"/>
  <c r="X46" i="3" l="1"/>
  <c r="U46" i="3" l="1"/>
  <c r="W46" i="3"/>
  <c r="V46" i="3"/>
  <c r="AE6" i="3"/>
  <c r="AD6" i="3"/>
  <c r="AA6" i="3"/>
  <c r="AC6" i="3"/>
  <c r="AB6" i="3"/>
  <c r="AF6" i="3" l="1"/>
  <c r="AH6" i="3" l="1"/>
  <c r="AK6" i="3" s="1"/>
  <c r="AG6" i="3"/>
  <c r="AI6" i="3" l="1"/>
  <c r="AQ6" i="3" l="1"/>
  <c r="AR6" i="3" l="1"/>
  <c r="AA46" i="3" l="1"/>
  <c r="AB46" i="3"/>
  <c r="AE46" i="3"/>
  <c r="AC46" i="3"/>
  <c r="AD46" i="3" l="1"/>
  <c r="AF46" i="3"/>
  <c r="AM46" i="3" l="1"/>
  <c r="AH46" i="3"/>
  <c r="AG46" i="3"/>
  <c r="AK46" i="3" l="1"/>
  <c r="AI46" i="3"/>
  <c r="AQ46" i="3" l="1"/>
  <c r="AR46" i="3" l="1"/>
  <c r="R10" i="6"/>
  <c r="R9" i="6"/>
  <c r="AF9" i="6" l="1"/>
  <c r="AI9" i="6"/>
  <c r="AG9" i="6"/>
  <c r="AH9" i="6"/>
  <c r="AE9" i="6"/>
  <c r="AF10" i="6"/>
  <c r="AI10" i="6"/>
  <c r="AG10" i="6"/>
  <c r="AH10" i="6"/>
  <c r="AE10" i="6"/>
  <c r="M16" i="6"/>
  <c r="R8" i="6"/>
  <c r="AG8" i="6" l="1"/>
  <c r="AI8" i="6"/>
  <c r="AF8" i="6"/>
  <c r="AF16" i="6" s="1"/>
  <c r="AE8" i="6"/>
  <c r="AH8" i="6"/>
  <c r="AL10" i="6"/>
  <c r="AS10" i="6" s="1"/>
  <c r="AL9" i="6"/>
  <c r="AS9" i="6" s="1"/>
  <c r="AH16" i="6"/>
  <c r="R16" i="6"/>
  <c r="AI16" i="6"/>
  <c r="AG16" i="6"/>
  <c r="AL8" i="6" l="1"/>
  <c r="AS8" i="6" s="1"/>
  <c r="AS16" i="6" s="1"/>
  <c r="AE16" i="6"/>
  <c r="AL16" i="6" s="1"/>
</calcChain>
</file>

<file path=xl/sharedStrings.xml><?xml version="1.0" encoding="utf-8"?>
<sst xmlns="http://schemas.openxmlformats.org/spreadsheetml/2006/main" count="915" uniqueCount="321">
  <si>
    <t>Present Days</t>
  </si>
  <si>
    <t>EL</t>
  </si>
  <si>
    <t>CL</t>
  </si>
  <si>
    <t>SL</t>
  </si>
  <si>
    <t>Total days</t>
  </si>
  <si>
    <t>Name</t>
  </si>
  <si>
    <t>Department</t>
  </si>
  <si>
    <t>Gross Wages</t>
  </si>
  <si>
    <t>HRA</t>
  </si>
  <si>
    <t>Other Allow</t>
  </si>
  <si>
    <t>Conv Allow</t>
  </si>
  <si>
    <t>Fixed Gross</t>
  </si>
  <si>
    <t>Earned Gross</t>
  </si>
  <si>
    <t>Deductions</t>
  </si>
  <si>
    <t>PF Gross</t>
  </si>
  <si>
    <t>ESI Gross</t>
  </si>
  <si>
    <t>TDS</t>
  </si>
  <si>
    <t>Signature</t>
  </si>
  <si>
    <t>Worked Days</t>
  </si>
  <si>
    <t>Per Day Wages</t>
  </si>
  <si>
    <t>Opening Advance</t>
  </si>
  <si>
    <t>Closing Advance</t>
  </si>
  <si>
    <t>NET Salary</t>
  </si>
  <si>
    <t>ERP Emp.No.</t>
  </si>
  <si>
    <t>GRAND TOTAL</t>
  </si>
  <si>
    <t>NAPS</t>
  </si>
  <si>
    <t>DOJ</t>
  </si>
  <si>
    <t>Rejoin - DOJ</t>
  </si>
  <si>
    <t>Experience</t>
  </si>
  <si>
    <t xml:space="preserve">As on </t>
  </si>
  <si>
    <t>ESI Dedn</t>
  </si>
  <si>
    <t>Basic + DA</t>
  </si>
  <si>
    <t>Convey Allow</t>
  </si>
  <si>
    <t>PF Dedn</t>
  </si>
  <si>
    <t>Total Dedn</t>
  </si>
  <si>
    <t>S.No</t>
  </si>
  <si>
    <t>Designation</t>
  </si>
  <si>
    <t>Emp. Code</t>
  </si>
  <si>
    <t>BHIPL-W1</t>
  </si>
  <si>
    <t>BHIPL-W2</t>
  </si>
  <si>
    <t>BHIPL-W4</t>
  </si>
  <si>
    <t>BHIPL-W11</t>
  </si>
  <si>
    <t>ESI/ EPF &amp; NAPS</t>
  </si>
  <si>
    <t>EPF</t>
  </si>
  <si>
    <t>ESI / EPF</t>
  </si>
  <si>
    <t>Advance Dedn</t>
  </si>
  <si>
    <t>LIC</t>
  </si>
  <si>
    <t>Washing Allow</t>
  </si>
  <si>
    <t xml:space="preserve">Washing Allow </t>
  </si>
  <si>
    <t>Accomdn</t>
  </si>
  <si>
    <t>Non ESI / PF</t>
  </si>
  <si>
    <t>OT hrs Wages</t>
  </si>
  <si>
    <t>OT Wages</t>
  </si>
  <si>
    <t>OT hrs</t>
  </si>
  <si>
    <t>Act. OT hrs</t>
  </si>
  <si>
    <t>STORES</t>
  </si>
  <si>
    <t xml:space="preserve">Fixed Gross </t>
  </si>
  <si>
    <t>HOUSE KEEPING</t>
  </si>
  <si>
    <t>N/H</t>
  </si>
  <si>
    <t>Earnings</t>
  </si>
  <si>
    <t>Prepared by</t>
  </si>
  <si>
    <t>Accounts Dept</t>
  </si>
  <si>
    <t>HRD</t>
  </si>
  <si>
    <t>Director</t>
  </si>
  <si>
    <t>Attendance</t>
  </si>
  <si>
    <t>New Advance Received</t>
  </si>
  <si>
    <t>Spl.Allow</t>
  </si>
  <si>
    <t>Spl</t>
  </si>
  <si>
    <t>OT</t>
  </si>
  <si>
    <t>Arrears</t>
  </si>
  <si>
    <t>NAPS Dedn</t>
  </si>
  <si>
    <t>Installment amt to be paid</t>
  </si>
  <si>
    <t>NATS</t>
  </si>
  <si>
    <t>Accomdation</t>
  </si>
  <si>
    <t>Installment Amount to be paid</t>
  </si>
  <si>
    <t>C/H</t>
  </si>
  <si>
    <t>Grade</t>
  </si>
  <si>
    <t>TRAINEE</t>
  </si>
  <si>
    <t>UAN  No</t>
  </si>
  <si>
    <t>ESI No</t>
  </si>
  <si>
    <t>UAN No</t>
  </si>
  <si>
    <t>ESI NO</t>
  </si>
  <si>
    <t>Gross-OT</t>
  </si>
  <si>
    <t>KRISHNAN.A.P</t>
  </si>
  <si>
    <t>ASSEMBLY</t>
  </si>
  <si>
    <t>M.PERUMALSAMY</t>
  </si>
  <si>
    <t>M SHOP</t>
  </si>
  <si>
    <t>S.PARTHIPAN</t>
  </si>
  <si>
    <t>PURCHASE</t>
  </si>
  <si>
    <t>R.VENKATACHALAM</t>
  </si>
  <si>
    <t>ACCOUNTS</t>
  </si>
  <si>
    <t>G.VIJAYAKUMAR</t>
  </si>
  <si>
    <t>FABRICATION</t>
  </si>
  <si>
    <t>R.KRISHNAMOORTHY</t>
  </si>
  <si>
    <t>S.VANITHA</t>
  </si>
  <si>
    <t>MARKETING</t>
  </si>
  <si>
    <t>R.UMASANKAR</t>
  </si>
  <si>
    <t>S.THIYAGU</t>
  </si>
  <si>
    <t>DESIGN</t>
  </si>
  <si>
    <t>R.PAUL</t>
  </si>
  <si>
    <t>QUALITY</t>
  </si>
  <si>
    <t>T.SUNDARRAJ</t>
  </si>
  <si>
    <t>P.K.GANESHKUMAR</t>
  </si>
  <si>
    <t>S.VANMATHI</t>
  </si>
  <si>
    <t>P.VIDHYA</t>
  </si>
  <si>
    <t>S.SHIVA</t>
  </si>
  <si>
    <t>N.DHINESHKUMAR</t>
  </si>
  <si>
    <t>A.PARTHASARATHI</t>
  </si>
  <si>
    <t>M.SRIRAM</t>
  </si>
  <si>
    <t>ELECTRICAL</t>
  </si>
  <si>
    <t>R.SAKILRAJ</t>
  </si>
  <si>
    <t>V.VIJAY</t>
  </si>
  <si>
    <t>B.SUBBURAM</t>
  </si>
  <si>
    <t>D.SILAMBARASAN</t>
  </si>
  <si>
    <t>R.DIVYA</t>
  </si>
  <si>
    <t>A.GOWTHAM</t>
  </si>
  <si>
    <t>JAYABRINDHA</t>
  </si>
  <si>
    <t>V.CHARUKESHINI</t>
  </si>
  <si>
    <t>RECEPTION</t>
  </si>
  <si>
    <t>M.KARTHIKEYAN</t>
  </si>
  <si>
    <t>B.KUMARESAN</t>
  </si>
  <si>
    <t>M.MANIKANDAN</t>
  </si>
  <si>
    <t>R VENKATESH</t>
  </si>
  <si>
    <t>HR</t>
  </si>
  <si>
    <t>S.KRISHNAN</t>
  </si>
  <si>
    <t>G SARAVANAN</t>
  </si>
  <si>
    <t>PLANT HEAD</t>
  </si>
  <si>
    <t>RAVIKUMAR.N</t>
  </si>
  <si>
    <t>S.MARUTHAPANDIAN</t>
  </si>
  <si>
    <t>LAWRANCE.R</t>
  </si>
  <si>
    <t>DRIVER</t>
  </si>
  <si>
    <t>KARTHIKRAJA.M</t>
  </si>
  <si>
    <t>SURESH KUMAR</t>
  </si>
  <si>
    <t>CRISTOPHER</t>
  </si>
  <si>
    <t>D.ZAHEER HUSSAIN</t>
  </si>
  <si>
    <t>F.GEORGE EDWARD</t>
  </si>
  <si>
    <t>D.SALEEM</t>
  </si>
  <si>
    <t>K.AJEESH KUMAR</t>
  </si>
  <si>
    <t>N.MUTHUGANESH BHARATHI</t>
  </si>
  <si>
    <t>N.SUBRAMANI</t>
  </si>
  <si>
    <t>R.THIRUNAVUKARASU</t>
  </si>
  <si>
    <t>C.DURAIMURUGAN</t>
  </si>
  <si>
    <t>R.SHANKAR</t>
  </si>
  <si>
    <t>B.MANIYARASU</t>
  </si>
  <si>
    <t>S.ARUN</t>
  </si>
  <si>
    <t>S.SURESH</t>
  </si>
  <si>
    <t>V.SANTHOSH KUMAR</t>
  </si>
  <si>
    <t>D.JESU BALAN</t>
  </si>
  <si>
    <t>E.JAGETHEESH</t>
  </si>
  <si>
    <t>U.SHENBAGASARAVANAN</t>
  </si>
  <si>
    <t>VIJAYAKUMAR</t>
  </si>
  <si>
    <t>A.MUTHAMILSELVAN</t>
  </si>
  <si>
    <t>ASHOK KUMAR</t>
  </si>
  <si>
    <t>SENTHILKUMAR</t>
  </si>
  <si>
    <t>SUDALAI</t>
  </si>
  <si>
    <t>M.KAMALESH</t>
  </si>
  <si>
    <t>S.YUVARAJA</t>
  </si>
  <si>
    <t>C. MANIKANDAN</t>
  </si>
  <si>
    <t>S.ESSAKIMUTHU</t>
  </si>
  <si>
    <t>A.LEOPETER</t>
  </si>
  <si>
    <t>S.SIVAGNANAM</t>
  </si>
  <si>
    <t>R.PIRAMANAYAGAM</t>
  </si>
  <si>
    <t>M.HEMACHANDRAPRABHU</t>
  </si>
  <si>
    <t>D.SIVAJI</t>
  </si>
  <si>
    <t>K.KANNUSAMY</t>
  </si>
  <si>
    <t>L.MAYANDI</t>
  </si>
  <si>
    <t xml:space="preserve">V.VETRIVELAN </t>
  </si>
  <si>
    <t>M.VIGNESH</t>
  </si>
  <si>
    <t>S.GANESH KUMAR</t>
  </si>
  <si>
    <t>K.SIVA DASSN</t>
  </si>
  <si>
    <t>M.ARIKARASUDHAN</t>
  </si>
  <si>
    <t>M.CHANDRU</t>
  </si>
  <si>
    <t>S.KALIYAMURTHI</t>
  </si>
  <si>
    <t>K.VADAMALAI</t>
  </si>
  <si>
    <t xml:space="preserve">P.PANDIAN </t>
  </si>
  <si>
    <t xml:space="preserve">T.RAMESH BABU </t>
  </si>
  <si>
    <t>R.KRISHNAKUMAR</t>
  </si>
  <si>
    <t>K.VIJAYAN</t>
  </si>
  <si>
    <t>M.NAGARAJ</t>
  </si>
  <si>
    <t>THIVAKAR</t>
  </si>
  <si>
    <t>M.SIVACHIDHAMBARAM</t>
  </si>
  <si>
    <t>S.GANESAN</t>
  </si>
  <si>
    <t>MARTIN SAGAYA RAJ</t>
  </si>
  <si>
    <t xml:space="preserve">A.KARTHIKEYAN </t>
  </si>
  <si>
    <t>ARJUN</t>
  </si>
  <si>
    <t>S.MURUGESAN</t>
  </si>
  <si>
    <t xml:space="preserve">S.MARIYASELVAM </t>
  </si>
  <si>
    <t>M.ABINAS</t>
  </si>
  <si>
    <t>M.PECHIMUTHU</t>
  </si>
  <si>
    <t>M.SELVA KUMAR</t>
  </si>
  <si>
    <t>P.ESWARAN</t>
  </si>
  <si>
    <t>N.G MURUGAN</t>
  </si>
  <si>
    <t>N.JAYA</t>
  </si>
  <si>
    <t>U.SATHISH KUMAR</t>
  </si>
  <si>
    <t xml:space="preserve">J.SENTHAMARAI </t>
  </si>
  <si>
    <t>D.RAJESWARI</t>
  </si>
  <si>
    <t>B.PONNAMMAL</t>
  </si>
  <si>
    <t>G.RADHA</t>
  </si>
  <si>
    <t>N.MARUTHATHAL</t>
  </si>
  <si>
    <t>MANOJ KUMAR</t>
  </si>
  <si>
    <t>PREM KUMAR</t>
  </si>
  <si>
    <t>CANTEEN</t>
  </si>
  <si>
    <t>R.NIZANTH</t>
  </si>
  <si>
    <t>VAISHNAVI</t>
  </si>
  <si>
    <t>Admin</t>
  </si>
  <si>
    <t>E.ESSAKIRAJA</t>
  </si>
  <si>
    <t>M.VANATHURAI PANDI</t>
  </si>
  <si>
    <t>A.ARLID</t>
  </si>
  <si>
    <t>N.RAGUL</t>
  </si>
  <si>
    <t>V.THIRUMOORTHY</t>
  </si>
  <si>
    <t>M shop</t>
  </si>
  <si>
    <t>Assembly</t>
  </si>
  <si>
    <t>S.SANTHOSH KUMAR</t>
  </si>
  <si>
    <t>S.SURENDRAN</t>
  </si>
  <si>
    <t>ANNAVI</t>
  </si>
  <si>
    <t>M.SENTHILMANI</t>
  </si>
  <si>
    <t>T.K.MUTHUSAMY</t>
  </si>
  <si>
    <t>P.BALAKRISHNAN</t>
  </si>
  <si>
    <t>N.POOSAIDURAI</t>
  </si>
  <si>
    <t>R.PERUMAL RAJA</t>
  </si>
  <si>
    <t>M.SIVA SANKAR</t>
  </si>
  <si>
    <t>S.KARTHIKEYAN</t>
  </si>
  <si>
    <t>C.ANDAVAN</t>
  </si>
  <si>
    <t>NAGARAJ</t>
  </si>
  <si>
    <t>S.SARAN</t>
  </si>
  <si>
    <t>RAMESH</t>
  </si>
  <si>
    <t>SHIVA KUMAR</t>
  </si>
  <si>
    <t>SUSIL PASWAN</t>
  </si>
  <si>
    <t>BARANI HYDRAULICS INDIA PRIVATE LIMITED - UNIT - I</t>
  </si>
  <si>
    <t>Electrical</t>
  </si>
  <si>
    <t>Maintenance</t>
  </si>
  <si>
    <t>QMS</t>
  </si>
  <si>
    <t>ADMIN</t>
  </si>
  <si>
    <t>MANUFACTURING</t>
  </si>
  <si>
    <t>NACHIMUTHU.A</t>
  </si>
  <si>
    <t>VASANTHAMANI</t>
  </si>
  <si>
    <t>S.LAKSHMI</t>
  </si>
  <si>
    <t>JAYA KUTTY</t>
  </si>
  <si>
    <t>Helper</t>
  </si>
  <si>
    <t>Sr.Drilling operator</t>
  </si>
  <si>
    <t>Lath operator</t>
  </si>
  <si>
    <t>Sr.Vmc operator</t>
  </si>
  <si>
    <t>Sr.Floor booring operator</t>
  </si>
  <si>
    <t>Vmc operator</t>
  </si>
  <si>
    <t>floor booring operator</t>
  </si>
  <si>
    <t>VTL Drilling operator</t>
  </si>
  <si>
    <t>Sr.Forman</t>
  </si>
  <si>
    <t>Sr.Fitter</t>
  </si>
  <si>
    <t>Fitter</t>
  </si>
  <si>
    <t>Sr.Welder</t>
  </si>
  <si>
    <t>Sr.Setter</t>
  </si>
  <si>
    <t>Gas Cuttter</t>
  </si>
  <si>
    <t>Welder</t>
  </si>
  <si>
    <t>Setter</t>
  </si>
  <si>
    <t>Electrication</t>
  </si>
  <si>
    <t>Store keeper</t>
  </si>
  <si>
    <t>canteen Master</t>
  </si>
  <si>
    <t xml:space="preserve">canteen </t>
  </si>
  <si>
    <t xml:space="preserve">MANAGER </t>
  </si>
  <si>
    <t>DY-MANAGER</t>
  </si>
  <si>
    <t>ASST-MANAGER</t>
  </si>
  <si>
    <t>STORE-INCHARAGE</t>
  </si>
  <si>
    <t>OFFICER</t>
  </si>
  <si>
    <t>ASSISTANT</t>
  </si>
  <si>
    <t>ENGINEER</t>
  </si>
  <si>
    <t>ASST-ENGINEER</t>
  </si>
  <si>
    <t>HEAD INSTRUMENTATION</t>
  </si>
  <si>
    <t>RESEPCTION</t>
  </si>
  <si>
    <t>HR-OFFICER</t>
  </si>
  <si>
    <t>GENDRAL MANAGER</t>
  </si>
  <si>
    <t>SR.FITTER</t>
  </si>
  <si>
    <t>SR.VMC OPERATOR</t>
  </si>
  <si>
    <t>ycm operator</t>
  </si>
  <si>
    <t>M Shop</t>
  </si>
  <si>
    <t>helper</t>
  </si>
  <si>
    <t>Fabracation</t>
  </si>
  <si>
    <t>canteen</t>
  </si>
  <si>
    <t>102251810118</t>
  </si>
  <si>
    <t>5611580187</t>
  </si>
  <si>
    <t>M.HARIHARASUDHAN</t>
  </si>
  <si>
    <t>J.HILLDA STEFFY</t>
  </si>
  <si>
    <t>S.JOGITH KUMAR</t>
  </si>
  <si>
    <t>5611610931</t>
  </si>
  <si>
    <t>101881175504</t>
  </si>
  <si>
    <t>M.ESAKKI RAJA</t>
  </si>
  <si>
    <t>M.MATHAN KUMAR</t>
  </si>
  <si>
    <t>JAVED ANSARI</t>
  </si>
  <si>
    <t>RAJESH DAS</t>
  </si>
  <si>
    <t>MUTHU KUTTY</t>
  </si>
  <si>
    <t>R.RAGUL</t>
  </si>
  <si>
    <t>R.PERIYASAMY</t>
  </si>
  <si>
    <t>Accounts PF Dedn</t>
  </si>
  <si>
    <t>Accounts Esi Dedn</t>
  </si>
  <si>
    <t>N.KISHORE KUMAR</t>
  </si>
  <si>
    <t>H.NANDHINI</t>
  </si>
  <si>
    <t>L.SUBHASREE</t>
  </si>
  <si>
    <t>N.RAGAVENDRA</t>
  </si>
  <si>
    <t>G.MOHANRAJ</t>
  </si>
  <si>
    <t>P.MOHAMMED SABEEK</t>
  </si>
  <si>
    <t>S.IMRAN HUSSAIN</t>
  </si>
  <si>
    <t>D.SANJEEV</t>
  </si>
  <si>
    <t>SUNNY KUMAR</t>
  </si>
  <si>
    <t>M.THANGA KARTHIK</t>
  </si>
  <si>
    <t>ARUNACHALAM</t>
  </si>
  <si>
    <t>S.VEERAMANI</t>
  </si>
  <si>
    <t>RAJUKUMAR</t>
  </si>
  <si>
    <t>worker SALARY STATEMENT FOR THE MONTH OF JUL - 2026 (NON COVERAGE)</t>
  </si>
  <si>
    <t>STAFF SALARY STATEMENT FOR THE MONTH OF JUL - 2026 (NON COVERAGE)</t>
  </si>
  <si>
    <t>WORKERS OT STATEMENT FOR THE MONTH OF JUL - 2026</t>
  </si>
  <si>
    <t>WORKERS SALARY STATEMENT FOR THE MONTH OF JUL - 2026 (ESI-PF)</t>
  </si>
  <si>
    <t>STAFF SALARY STATEMENT FOR THE MONTH OF JUL- 2025</t>
  </si>
  <si>
    <t>R.NAUSHAD ANSARI</t>
  </si>
  <si>
    <t>POOVARASAN</t>
  </si>
  <si>
    <t>M.ARUNKUMAR</t>
  </si>
  <si>
    <t>B.PERARASI</t>
  </si>
  <si>
    <t>Gate entry</t>
  </si>
  <si>
    <t>A.INDIRAN</t>
  </si>
  <si>
    <t>Dy.Manager</t>
  </si>
  <si>
    <t>K.KARTHIK</t>
  </si>
  <si>
    <t>101131229961</t>
  </si>
  <si>
    <t>100167234059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</si>
</sst>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[$-409]d\-mmm\-yy;@"/>
    <numFmt numFmtId="167" formatCode="[$-409]d\-mmm\-yyyy;@"/>
  </numFmts>
  <fonts count="3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8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u/>
      <sz val="9.35"/>
      <color theme="10"/>
      <name val="Calibri"/>
      <family val="2"/>
    </font>
    <font>
      <sz val="11"/>
      <color theme="1"/>
      <name val="Times New Roman"/>
      <family val="1"/>
    </font>
    <font>
      <sz val="16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9">
    <xf numFmtId="0" fontId="0" fillId="0" borderId="0"/>
    <xf numFmtId="0" fontId="2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/>
    <xf numFmtId="0" fontId="9" fillId="0" borderId="28" applyNumberFormat="0" applyFill="0" applyAlignment="0" applyProtection="0"/>
    <xf numFmtId="0" fontId="10" fillId="0" borderId="29" applyNumberFormat="0" applyFill="0" applyAlignment="0" applyProtection="0"/>
    <xf numFmtId="0" fontId="11" fillId="0" borderId="30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31" applyNumberFormat="0" applyAlignment="0" applyProtection="0"/>
    <xf numFmtId="0" fontId="16" fillId="8" borderId="32" applyNumberFormat="0" applyAlignment="0" applyProtection="0"/>
    <xf numFmtId="0" fontId="17" fillId="8" borderId="31" applyNumberFormat="0" applyAlignment="0" applyProtection="0"/>
    <xf numFmtId="0" fontId="18" fillId="0" borderId="33" applyNumberFormat="0" applyFill="0" applyAlignment="0" applyProtection="0"/>
    <xf numFmtId="0" fontId="19" fillId="9" borderId="34" applyNumberFormat="0" applyAlignment="0" applyProtection="0"/>
    <xf numFmtId="0" fontId="20" fillId="0" borderId="0" applyNumberFormat="0" applyFill="0" applyBorder="0" applyAlignment="0" applyProtection="0"/>
    <xf numFmtId="0" fontId="5" fillId="10" borderId="35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36" applyNumberFormat="0" applyFill="0" applyAlignment="0" applyProtection="0"/>
    <xf numFmtId="0" fontId="23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3" fillId="34" borderId="0" applyNumberFormat="0" applyBorder="0" applyAlignment="0" applyProtection="0"/>
    <xf numFmtId="0" fontId="1" fillId="0" borderId="0">
      <alignment vertical="top"/>
    </xf>
    <xf numFmtId="0" fontId="24" fillId="0" borderId="0"/>
    <xf numFmtId="0" fontId="5" fillId="0" borderId="0"/>
    <xf numFmtId="0" fontId="5" fillId="0" borderId="0"/>
    <xf numFmtId="0" fontId="5" fillId="0" borderId="0"/>
    <xf numFmtId="0" fontId="2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88">
    <xf numFmtId="0" fontId="0" fillId="0" borderId="0" xfId="0"/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2" borderId="0" xfId="0" applyFont="1" applyFill="1"/>
    <xf numFmtId="166" fontId="3" fillId="2" borderId="9" xfId="0" applyNumberFormat="1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2" fontId="3" fillId="2" borderId="0" xfId="0" applyNumberFormat="1" applyFont="1" applyFill="1"/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2" fontId="4" fillId="2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0" xfId="0" applyFont="1" applyFill="1" applyBorder="1"/>
    <xf numFmtId="0" fontId="3" fillId="2" borderId="8" xfId="0" applyFont="1" applyFill="1" applyBorder="1"/>
    <xf numFmtId="0" fontId="3" fillId="2" borderId="17" xfId="0" applyFont="1" applyFill="1" applyBorder="1"/>
    <xf numFmtId="0" fontId="1" fillId="2" borderId="0" xfId="0" applyFont="1" applyFill="1"/>
    <xf numFmtId="0" fontId="7" fillId="2" borderId="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67" fontId="28" fillId="2" borderId="1" xfId="0" applyNumberFormat="1" applyFont="1" applyFill="1" applyBorder="1" applyAlignment="1">
      <alignment horizontal="left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 wrapText="1"/>
    </xf>
    <xf numFmtId="1" fontId="3" fillId="2" borderId="38" xfId="0" applyNumberFormat="1" applyFont="1" applyFill="1" applyBorder="1" applyAlignment="1">
      <alignment horizontal="center" vertical="center"/>
    </xf>
    <xf numFmtId="1" fontId="3" fillId="2" borderId="39" xfId="0" applyNumberFormat="1" applyFont="1" applyFill="1" applyBorder="1" applyAlignment="1">
      <alignment horizontal="center" vertical="center"/>
    </xf>
    <xf numFmtId="166" fontId="3" fillId="2" borderId="39" xfId="0" applyNumberFormat="1" applyFont="1" applyFill="1" applyBorder="1" applyAlignment="1">
      <alignment horizontal="center" vertical="center" wrapText="1"/>
    </xf>
    <xf numFmtId="166" fontId="3" fillId="2" borderId="39" xfId="0" applyNumberFormat="1" applyFont="1" applyFill="1" applyBorder="1" applyAlignment="1">
      <alignment horizontal="center" vertical="center"/>
    </xf>
    <xf numFmtId="2" fontId="3" fillId="2" borderId="39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3" fontId="3" fillId="2" borderId="39" xfId="0" applyNumberFormat="1" applyFont="1" applyFill="1" applyBorder="1" applyAlignment="1">
      <alignment horizontal="center" vertical="center"/>
    </xf>
    <xf numFmtId="4" fontId="3" fillId="2" borderId="39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vertical="center"/>
    </xf>
    <xf numFmtId="3" fontId="3" fillId="2" borderId="40" xfId="0" applyNumberFormat="1" applyFont="1" applyFill="1" applyBorder="1" applyAlignment="1">
      <alignment horizontal="center" vertical="center"/>
    </xf>
    <xf numFmtId="166" fontId="3" fillId="2" borderId="41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3" fontId="3" fillId="2" borderId="4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2" fontId="4" fillId="0" borderId="14" xfId="0" applyNumberFormat="1" applyFont="1" applyBorder="1" applyAlignment="1">
      <alignment horizontal="center" vertical="center"/>
    </xf>
    <xf numFmtId="0" fontId="28" fillId="0" borderId="0" xfId="0" applyFont="1"/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9" fillId="0" borderId="0" xfId="0" applyFont="1"/>
    <xf numFmtId="0" fontId="6" fillId="0" borderId="1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 wrapText="1"/>
    </xf>
    <xf numFmtId="1" fontId="29" fillId="0" borderId="20" xfId="0" applyNumberFormat="1" applyFont="1" applyBorder="1" applyAlignment="1">
      <alignment horizontal="center" vertical="center"/>
    </xf>
    <xf numFmtId="1" fontId="29" fillId="0" borderId="9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166" fontId="29" fillId="0" borderId="9" xfId="0" applyNumberFormat="1" applyFont="1" applyBorder="1" applyAlignment="1">
      <alignment horizontal="center" vertical="center"/>
    </xf>
    <xf numFmtId="164" fontId="31" fillId="0" borderId="1" xfId="0" applyNumberFormat="1" applyFont="1" applyBorder="1" applyAlignment="1">
      <alignment horizontal="left" vertical="center"/>
    </xf>
    <xf numFmtId="166" fontId="29" fillId="0" borderId="9" xfId="0" applyNumberFormat="1" applyFont="1" applyBorder="1" applyAlignment="1">
      <alignment horizontal="left" vertical="center" wrapText="1"/>
    </xf>
    <xf numFmtId="164" fontId="31" fillId="0" borderId="1" xfId="0" applyNumberFormat="1" applyFont="1" applyBorder="1" applyAlignment="1">
      <alignment vertical="center"/>
    </xf>
    <xf numFmtId="14" fontId="31" fillId="0" borderId="1" xfId="0" applyNumberFormat="1" applyFont="1" applyBorder="1" applyAlignment="1">
      <alignment horizontal="center" vertical="center"/>
    </xf>
    <xf numFmtId="2" fontId="29" fillId="0" borderId="9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3" fontId="29" fillId="0" borderId="9" xfId="0" applyNumberFormat="1" applyFont="1" applyBorder="1" applyAlignment="1">
      <alignment horizontal="center" vertical="center"/>
    </xf>
    <xf numFmtId="4" fontId="29" fillId="0" borderId="9" xfId="0" applyNumberFormat="1" applyFont="1" applyBorder="1" applyAlignment="1">
      <alignment horizontal="center" vertical="center"/>
    </xf>
    <xf numFmtId="3" fontId="29" fillId="0" borderId="9" xfId="0" applyNumberFormat="1" applyFont="1" applyBorder="1" applyAlignment="1">
      <alignment horizontal="center" vertical="center" wrapText="1"/>
    </xf>
    <xf numFmtId="0" fontId="29" fillId="0" borderId="9" xfId="0" applyFont="1" applyBorder="1"/>
    <xf numFmtId="3" fontId="29" fillId="0" borderId="27" xfId="0" applyNumberFormat="1" applyFont="1" applyBorder="1" applyAlignment="1">
      <alignment horizontal="center" vertical="center"/>
    </xf>
    <xf numFmtId="3" fontId="29" fillId="0" borderId="21" xfId="0" applyNumberFormat="1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/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166" fontId="29" fillId="2" borderId="9" xfId="0" applyNumberFormat="1" applyFont="1" applyFill="1" applyBorder="1" applyAlignment="1">
      <alignment horizontal="center" vertical="center" wrapText="1"/>
    </xf>
    <xf numFmtId="14" fontId="31" fillId="2" borderId="1" xfId="0" applyNumberFormat="1" applyFont="1" applyFill="1" applyBorder="1" applyAlignment="1">
      <alignment horizontal="center" vertical="center"/>
    </xf>
    <xf numFmtId="166" fontId="29" fillId="0" borderId="1" xfId="0" quotePrefix="1" applyNumberFormat="1" applyFont="1" applyBorder="1" applyAlignment="1">
      <alignment horizontal="center" vertical="center"/>
    </xf>
    <xf numFmtId="14" fontId="31" fillId="0" borderId="1" xfId="0" applyNumberFormat="1" applyFont="1" applyBorder="1"/>
    <xf numFmtId="3" fontId="29" fillId="0" borderId="1" xfId="0" applyNumberFormat="1" applyFont="1" applyBorder="1" applyAlignment="1">
      <alignment horizontal="center" vertical="center"/>
    </xf>
    <xf numFmtId="4" fontId="6" fillId="0" borderId="14" xfId="0" applyNumberFormat="1" applyFont="1" applyBorder="1" applyAlignment="1">
      <alignment horizontal="center" vertical="center"/>
    </xf>
    <xf numFmtId="3" fontId="29" fillId="0" borderId="0" xfId="0" applyNumberFormat="1" applyFont="1" applyAlignment="1">
      <alignment vertical="center"/>
    </xf>
    <xf numFmtId="3" fontId="29" fillId="0" borderId="0" xfId="0" applyNumberFormat="1" applyFont="1"/>
    <xf numFmtId="0" fontId="29" fillId="0" borderId="0" xfId="0" applyFont="1" applyAlignment="1">
      <alignment horizontal="center" vertical="center"/>
    </xf>
    <xf numFmtId="165" fontId="29" fillId="0" borderId="0" xfId="0" applyNumberFormat="1" applyFont="1"/>
    <xf numFmtId="1" fontId="29" fillId="0" borderId="0" xfId="0" applyNumberFormat="1" applyFont="1"/>
    <xf numFmtId="164" fontId="29" fillId="0" borderId="0" xfId="0" applyNumberFormat="1" applyFont="1"/>
    <xf numFmtId="2" fontId="29" fillId="0" borderId="0" xfId="0" applyNumberFormat="1" applyFont="1"/>
    <xf numFmtId="4" fontId="29" fillId="0" borderId="0" xfId="0" applyNumberFormat="1" applyFont="1"/>
    <xf numFmtId="0" fontId="4" fillId="2" borderId="22" xfId="0" applyFont="1" applyFill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center"/>
    </xf>
    <xf numFmtId="0" fontId="28" fillId="0" borderId="39" xfId="0" applyFont="1" applyBorder="1" applyAlignment="1">
      <alignment vertical="center"/>
    </xf>
    <xf numFmtId="0" fontId="28" fillId="0" borderId="39" xfId="0" applyFont="1" applyBorder="1" applyAlignment="1">
      <alignment horizontal="center" vertical="center"/>
    </xf>
    <xf numFmtId="166" fontId="3" fillId="0" borderId="39" xfId="0" applyNumberFormat="1" applyFont="1" applyBorder="1" applyAlignment="1">
      <alignment horizontal="center" vertical="center"/>
    </xf>
    <xf numFmtId="49" fontId="28" fillId="0" borderId="39" xfId="0" applyNumberFormat="1" applyFont="1" applyBorder="1" applyAlignment="1">
      <alignment horizontal="left" vertical="center"/>
    </xf>
    <xf numFmtId="167" fontId="28" fillId="2" borderId="39" xfId="0" applyNumberFormat="1" applyFont="1" applyFill="1" applyBorder="1" applyAlignment="1">
      <alignment horizontal="center" vertical="center"/>
    </xf>
    <xf numFmtId="167" fontId="28" fillId="2" borderId="1" xfId="0" applyNumberFormat="1" applyFont="1" applyFill="1" applyBorder="1" applyAlignment="1">
      <alignment horizontal="center" vertical="center"/>
    </xf>
    <xf numFmtId="166" fontId="3" fillId="0" borderId="41" xfId="0" applyNumberFormat="1" applyFont="1" applyBorder="1" applyAlignment="1">
      <alignment horizontal="center" vertical="center"/>
    </xf>
    <xf numFmtId="49" fontId="28" fillId="0" borderId="41" xfId="0" applyNumberFormat="1" applyFont="1" applyBorder="1" applyAlignment="1">
      <alignment horizontal="left" vertical="center"/>
    </xf>
    <xf numFmtId="167" fontId="28" fillId="2" borderId="4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" fontId="28" fillId="0" borderId="39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2" fontId="4" fillId="2" borderId="23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43" xfId="0" applyNumberFormat="1" applyFont="1" applyFill="1" applyBorder="1" applyAlignment="1">
      <alignment horizontal="center" vertical="center"/>
    </xf>
    <xf numFmtId="166" fontId="3" fillId="2" borderId="41" xfId="0" applyNumberFormat="1" applyFont="1" applyFill="1" applyBorder="1" applyAlignment="1">
      <alignment horizontal="center" vertical="center" wrapText="1"/>
    </xf>
    <xf numFmtId="0" fontId="4" fillId="36" borderId="26" xfId="0" applyFont="1" applyFill="1" applyBorder="1" applyAlignment="1">
      <alignment horizontal="center" vertical="center" wrapText="1"/>
    </xf>
    <xf numFmtId="3" fontId="3" fillId="37" borderId="1" xfId="0" applyNumberFormat="1" applyFont="1" applyFill="1" applyBorder="1" applyAlignment="1">
      <alignment horizontal="center" vertical="center"/>
    </xf>
    <xf numFmtId="3" fontId="3" fillId="37" borderId="7" xfId="0" applyNumberFormat="1" applyFont="1" applyFill="1" applyBorder="1" applyAlignment="1">
      <alignment horizontal="center" vertical="center"/>
    </xf>
    <xf numFmtId="3" fontId="3" fillId="37" borderId="14" xfId="0" applyNumberFormat="1" applyFont="1" applyFill="1" applyBorder="1" applyAlignment="1">
      <alignment horizontal="center" vertical="center"/>
    </xf>
    <xf numFmtId="0" fontId="28" fillId="37" borderId="0" xfId="0" applyFont="1" applyFill="1"/>
    <xf numFmtId="164" fontId="31" fillId="0" borderId="9" xfId="0" applyNumberFormat="1" applyFont="1" applyBorder="1" applyAlignment="1">
      <alignment horizontal="left" vertical="center"/>
    </xf>
    <xf numFmtId="1" fontId="29" fillId="0" borderId="1" xfId="0" quotePrefix="1" applyNumberFormat="1" applyFont="1" applyBorder="1" applyAlignment="1">
      <alignment horizontal="center" vertical="center"/>
    </xf>
    <xf numFmtId="1" fontId="4" fillId="35" borderId="23" xfId="0" applyNumberFormat="1" applyFont="1" applyFill="1" applyBorder="1" applyAlignment="1">
      <alignment horizontal="center" vertical="center"/>
    </xf>
    <xf numFmtId="1" fontId="4" fillId="2" borderId="23" xfId="0" applyNumberFormat="1" applyFont="1" applyFill="1" applyBorder="1" applyAlignment="1">
      <alignment horizontal="center" vertical="center"/>
    </xf>
    <xf numFmtId="0" fontId="0" fillId="0" borderId="1" xfId="0" applyBorder="1"/>
    <xf numFmtId="1" fontId="29" fillId="0" borderId="9" xfId="0" quotePrefix="1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166" fontId="3" fillId="2" borderId="1" xfId="0" applyNumberFormat="1" applyFont="1" applyFill="1" applyBorder="1" applyAlignment="1">
      <alignment horizontal="center" wrapText="1"/>
    </xf>
    <xf numFmtId="166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3" fontId="3" fillId="2" borderId="39" xfId="0" applyNumberFormat="1" applyFont="1" applyFill="1" applyBorder="1" applyAlignment="1">
      <alignment horizontal="center"/>
    </xf>
    <xf numFmtId="3" fontId="3" fillId="2" borderId="40" xfId="0" applyNumberFormat="1" applyFont="1" applyFill="1" applyBorder="1" applyAlignment="1">
      <alignment horizontal="center"/>
    </xf>
    <xf numFmtId="3" fontId="29" fillId="0" borderId="9" xfId="0" applyNumberFormat="1" applyFont="1" applyBorder="1" applyAlignment="1">
      <alignment horizontal="center"/>
    </xf>
    <xf numFmtId="3" fontId="29" fillId="0" borderId="27" xfId="0" applyNumberFormat="1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166" fontId="29" fillId="0" borderId="9" xfId="0" applyNumberFormat="1" applyFont="1" applyBorder="1" applyAlignment="1">
      <alignment horizontal="center" wrapText="1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8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166" fontId="3" fillId="2" borderId="7" xfId="0" applyNumberFormat="1" applyFont="1" applyFill="1" applyBorder="1" applyAlignment="1">
      <alignment horizontal="center" wrapText="1"/>
    </xf>
    <xf numFmtId="166" fontId="3" fillId="2" borderId="7" xfId="0" applyNumberFormat="1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166" fontId="3" fillId="2" borderId="9" xfId="0" applyNumberFormat="1" applyFont="1" applyFill="1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/>
    </xf>
    <xf numFmtId="14" fontId="0" fillId="0" borderId="1" xfId="0" applyNumberFormat="1" applyBorder="1"/>
    <xf numFmtId="0" fontId="4" fillId="2" borderId="5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2" fontId="3" fillId="2" borderId="41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4" fontId="3" fillId="2" borderId="41" xfId="0" applyNumberFormat="1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1" fontId="3" fillId="2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29" fillId="35" borderId="9" xfId="0" applyNumberFormat="1" applyFont="1" applyFill="1" applyBorder="1" applyAlignment="1">
      <alignment horizontal="center" vertical="center" wrapText="1"/>
    </xf>
    <xf numFmtId="4" fontId="6" fillId="35" borderId="14" xfId="0" applyNumberFormat="1" applyFont="1" applyFill="1" applyBorder="1" applyAlignment="1">
      <alignment horizontal="center" vertical="center"/>
    </xf>
    <xf numFmtId="0" fontId="6" fillId="35" borderId="14" xfId="0" applyFont="1" applyFill="1" applyBorder="1" applyAlignment="1">
      <alignment horizontal="center" vertical="center" wrapText="1"/>
    </xf>
    <xf numFmtId="0" fontId="4" fillId="35" borderId="14" xfId="0" applyFont="1" applyFill="1" applyBorder="1" applyAlignment="1">
      <alignment horizontal="center" vertical="center" wrapText="1"/>
    </xf>
    <xf numFmtId="1" fontId="3" fillId="35" borderId="1" xfId="0" applyNumberFormat="1" applyFont="1" applyFill="1" applyBorder="1" applyAlignment="1">
      <alignment horizontal="center" vertical="center"/>
    </xf>
    <xf numFmtId="2" fontId="4" fillId="35" borderId="1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14" fontId="0" fillId="0" borderId="0" xfId="0" applyNumberFormat="1" applyBorder="1"/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 vertical="center"/>
    </xf>
    <xf numFmtId="0" fontId="28" fillId="0" borderId="0" xfId="0" applyFont="1" applyFill="1"/>
    <xf numFmtId="0" fontId="4" fillId="3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11" xfId="0" applyNumberFormat="1" applyFont="1" applyFill="1" applyBorder="1" applyAlignment="1">
      <alignment horizontal="center"/>
    </xf>
    <xf numFmtId="3" fontId="4" fillId="2" borderId="12" xfId="0" applyNumberFormat="1" applyFont="1" applyFill="1" applyBorder="1" applyAlignment="1">
      <alignment horizontal="center"/>
    </xf>
    <xf numFmtId="3" fontId="4" fillId="2" borderId="13" xfId="0" applyNumberFormat="1" applyFont="1" applyFill="1" applyBorder="1" applyAlignment="1">
      <alignment horizontal="center"/>
    </xf>
    <xf numFmtId="3" fontId="4" fillId="2" borderId="18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/>
    </xf>
    <xf numFmtId="3" fontId="7" fillId="2" borderId="5" xfId="0" applyNumberFormat="1" applyFont="1" applyFill="1" applyBorder="1" applyAlignment="1">
      <alignment horizontal="center"/>
    </xf>
    <xf numFmtId="3" fontId="7" fillId="2" borderId="6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3" fontId="7" fillId="2" borderId="11" xfId="0" applyNumberFormat="1" applyFont="1" applyFill="1" applyBorder="1" applyAlignment="1">
      <alignment horizontal="center"/>
    </xf>
    <xf numFmtId="3" fontId="7" fillId="2" borderId="12" xfId="0" applyNumberFormat="1" applyFont="1" applyFill="1" applyBorder="1" applyAlignment="1">
      <alignment horizontal="center"/>
    </xf>
    <xf numFmtId="3" fontId="7" fillId="2" borderId="13" xfId="0" applyNumberFormat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3" fillId="0" borderId="39" xfId="0" applyFont="1" applyBorder="1" applyAlignment="1">
      <alignment horizontal="center" vertical="center"/>
    </xf>
    <xf numFmtId="0" fontId="28" fillId="0" borderId="39" xfId="0" applyFont="1" applyBorder="1" applyAlignment="1">
      <alignment horizontal="left" vertical="center"/>
    </xf>
    <xf numFmtId="0" fontId="0" fillId="0" borderId="41" xfId="0" applyFill="1" applyBorder="1" applyAlignment="1">
      <alignment horizontal="center" vertical="center"/>
    </xf>
    <xf numFmtId="0" fontId="0" fillId="0" borderId="41" xfId="0" applyFill="1" applyBorder="1" applyAlignment="1">
      <alignment vertical="center"/>
    </xf>
    <xf numFmtId="3" fontId="3" fillId="0" borderId="39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Fill="1"/>
    <xf numFmtId="0" fontId="3" fillId="38" borderId="0" xfId="0" applyFont="1" applyFill="1"/>
    <xf numFmtId="0" fontId="4" fillId="38" borderId="14" xfId="0" applyFont="1" applyFill="1" applyBorder="1" applyAlignment="1">
      <alignment horizontal="center" vertical="center" wrapText="1"/>
    </xf>
    <xf numFmtId="1" fontId="3" fillId="38" borderId="1" xfId="0" applyNumberFormat="1" applyFont="1" applyFill="1" applyBorder="1" applyAlignment="1">
      <alignment horizontal="center" vertical="center"/>
    </xf>
    <xf numFmtId="2" fontId="4" fillId="38" borderId="14" xfId="0" applyNumberFormat="1" applyFont="1" applyFill="1" applyBorder="1" applyAlignment="1">
      <alignment horizontal="center" vertical="center"/>
    </xf>
    <xf numFmtId="0" fontId="3" fillId="38" borderId="8" xfId="0" applyFont="1" applyFill="1" applyBorder="1"/>
    <xf numFmtId="1" fontId="32" fillId="0" borderId="1" xfId="0" applyNumberFormat="1" applyFont="1" applyBorder="1" applyAlignment="1">
      <alignment horizontal="left" vertical="center"/>
    </xf>
    <xf numFmtId="1" fontId="28" fillId="0" borderId="1" xfId="0" applyNumberFormat="1" applyFont="1" applyBorder="1" applyAlignment="1">
      <alignment horizontal="left" vertical="center"/>
    </xf>
  </cellXfs>
  <cellStyles count="119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 2" xfId="50" xr:uid="{00000000-0005-0000-0000-000021000000}"/>
    <cellStyle name="Hyperlink 3" xfId="54" xr:uid="{00000000-0005-0000-0000-000022000000}"/>
    <cellStyle name="Hyperlink 4" xfId="61" xr:uid="{00000000-0005-0000-0000-000023000000}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10" xfId="76" xr:uid="{00000000-0005-0000-0000-000028000000}"/>
    <cellStyle name="Normal 10 2" xfId="111" xr:uid="{00000000-0005-0000-0000-000029000000}"/>
    <cellStyle name="Normal 11" xfId="77" xr:uid="{00000000-0005-0000-0000-00002A000000}"/>
    <cellStyle name="Normal 11 2" xfId="112" xr:uid="{00000000-0005-0000-0000-00002B000000}"/>
    <cellStyle name="Normal 12" xfId="78" xr:uid="{00000000-0005-0000-0000-00002C000000}"/>
    <cellStyle name="Normal 12 2" xfId="113" xr:uid="{00000000-0005-0000-0000-00002D000000}"/>
    <cellStyle name="Normal 13" xfId="79" xr:uid="{00000000-0005-0000-0000-00002E000000}"/>
    <cellStyle name="Normal 13 2" xfId="114" xr:uid="{00000000-0005-0000-0000-00002F000000}"/>
    <cellStyle name="Normal 14" xfId="80" xr:uid="{00000000-0005-0000-0000-000030000000}"/>
    <cellStyle name="Normal 14 2" xfId="115" xr:uid="{00000000-0005-0000-0000-000031000000}"/>
    <cellStyle name="Normal 15" xfId="81" xr:uid="{00000000-0005-0000-0000-000032000000}"/>
    <cellStyle name="Normal 15 2" xfId="116" xr:uid="{00000000-0005-0000-0000-000033000000}"/>
    <cellStyle name="Normal 16" xfId="82" xr:uid="{00000000-0005-0000-0000-000034000000}"/>
    <cellStyle name="Normal 16 2" xfId="117" xr:uid="{00000000-0005-0000-0000-000035000000}"/>
    <cellStyle name="Normal 17" xfId="83" xr:uid="{00000000-0005-0000-0000-000036000000}"/>
    <cellStyle name="Normal 17 2" xfId="118" xr:uid="{00000000-0005-0000-0000-000037000000}"/>
    <cellStyle name="Normal 18" xfId="84" xr:uid="{00000000-0005-0000-0000-000038000000}"/>
    <cellStyle name="Normal 19" xfId="47" xr:uid="{00000000-0005-0000-0000-000039000000}"/>
    <cellStyle name="Normal 2" xfId="1" xr:uid="{00000000-0005-0000-0000-00003A000000}"/>
    <cellStyle name="Normal 2 2" xfId="48" xr:uid="{00000000-0005-0000-0000-00003B000000}"/>
    <cellStyle name="Normal 2 2 2" xfId="67" xr:uid="{00000000-0005-0000-0000-00003C000000}"/>
    <cellStyle name="Normal 2 2 2 2" xfId="102" xr:uid="{00000000-0005-0000-0000-00003D000000}"/>
    <cellStyle name="Normal 2 2 3" xfId="90" xr:uid="{00000000-0005-0000-0000-00003E000000}"/>
    <cellStyle name="Normal 2 3" xfId="62" xr:uid="{00000000-0005-0000-0000-00003F000000}"/>
    <cellStyle name="Normal 2 3 2" xfId="97" xr:uid="{00000000-0005-0000-0000-000040000000}"/>
    <cellStyle name="Normal 2 4" xfId="85" xr:uid="{00000000-0005-0000-0000-000041000000}"/>
    <cellStyle name="Normal 2 5" xfId="46" xr:uid="{00000000-0005-0000-0000-000042000000}"/>
    <cellStyle name="Normal 20" xfId="2" xr:uid="{00000000-0005-0000-0000-000043000000}"/>
    <cellStyle name="Normal 21" xfId="3" xr:uid="{00000000-0005-0000-0000-000044000000}"/>
    <cellStyle name="Normal 22" xfId="45" xr:uid="{00000000-0005-0000-0000-000045000000}"/>
    <cellStyle name="Normal 3" xfId="49" xr:uid="{00000000-0005-0000-0000-000046000000}"/>
    <cellStyle name="Normal 3 2" xfId="52" xr:uid="{00000000-0005-0000-0000-000047000000}"/>
    <cellStyle name="Normal 3 2 2" xfId="57" xr:uid="{00000000-0005-0000-0000-000048000000}"/>
    <cellStyle name="Normal 3 2 2 2" xfId="70" xr:uid="{00000000-0005-0000-0000-000049000000}"/>
    <cellStyle name="Normal 3 2 2 2 2" xfId="105" xr:uid="{00000000-0005-0000-0000-00004A000000}"/>
    <cellStyle name="Normal 3 2 2 3" xfId="93" xr:uid="{00000000-0005-0000-0000-00004B000000}"/>
    <cellStyle name="Normal 3 2 3" xfId="65" xr:uid="{00000000-0005-0000-0000-00004C000000}"/>
    <cellStyle name="Normal 3 2 3 2" xfId="100" xr:uid="{00000000-0005-0000-0000-00004D000000}"/>
    <cellStyle name="Normal 3 2 4" xfId="88" xr:uid="{00000000-0005-0000-0000-00004E000000}"/>
    <cellStyle name="Normal 3 3" xfId="55" xr:uid="{00000000-0005-0000-0000-00004F000000}"/>
    <cellStyle name="Normal 3 3 2" xfId="68" xr:uid="{00000000-0005-0000-0000-000050000000}"/>
    <cellStyle name="Normal 3 3 2 2" xfId="103" xr:uid="{00000000-0005-0000-0000-000051000000}"/>
    <cellStyle name="Normal 3 3 3" xfId="91" xr:uid="{00000000-0005-0000-0000-000052000000}"/>
    <cellStyle name="Normal 3 4" xfId="63" xr:uid="{00000000-0005-0000-0000-000053000000}"/>
    <cellStyle name="Normal 3 4 2" xfId="98" xr:uid="{00000000-0005-0000-0000-000054000000}"/>
    <cellStyle name="Normal 3 5" xfId="86" xr:uid="{00000000-0005-0000-0000-000055000000}"/>
    <cellStyle name="Normal 4" xfId="51" xr:uid="{00000000-0005-0000-0000-000056000000}"/>
    <cellStyle name="Normal 4 2" xfId="56" xr:uid="{00000000-0005-0000-0000-000057000000}"/>
    <cellStyle name="Normal 4 2 2" xfId="69" xr:uid="{00000000-0005-0000-0000-000058000000}"/>
    <cellStyle name="Normal 4 2 2 2" xfId="104" xr:uid="{00000000-0005-0000-0000-000059000000}"/>
    <cellStyle name="Normal 4 2 3" xfId="92" xr:uid="{00000000-0005-0000-0000-00005A000000}"/>
    <cellStyle name="Normal 4 3" xfId="64" xr:uid="{00000000-0005-0000-0000-00005B000000}"/>
    <cellStyle name="Normal 4 3 2" xfId="99" xr:uid="{00000000-0005-0000-0000-00005C000000}"/>
    <cellStyle name="Normal 4 4" xfId="87" xr:uid="{00000000-0005-0000-0000-00005D000000}"/>
    <cellStyle name="Normal 5" xfId="53" xr:uid="{00000000-0005-0000-0000-00005E000000}"/>
    <cellStyle name="Normal 5 2" xfId="58" xr:uid="{00000000-0005-0000-0000-00005F000000}"/>
    <cellStyle name="Normal 5 2 2" xfId="71" xr:uid="{00000000-0005-0000-0000-000060000000}"/>
    <cellStyle name="Normal 5 2 2 2" xfId="106" xr:uid="{00000000-0005-0000-0000-000061000000}"/>
    <cellStyle name="Normal 5 2 3" xfId="94" xr:uid="{00000000-0005-0000-0000-000062000000}"/>
    <cellStyle name="Normal 5 3" xfId="66" xr:uid="{00000000-0005-0000-0000-000063000000}"/>
    <cellStyle name="Normal 5 3 2" xfId="101" xr:uid="{00000000-0005-0000-0000-000064000000}"/>
    <cellStyle name="Normal 5 4" xfId="89" xr:uid="{00000000-0005-0000-0000-000065000000}"/>
    <cellStyle name="Normal 6" xfId="59" xr:uid="{00000000-0005-0000-0000-000066000000}"/>
    <cellStyle name="Normal 6 2" xfId="72" xr:uid="{00000000-0005-0000-0000-000067000000}"/>
    <cellStyle name="Normal 6 2 2" xfId="107" xr:uid="{00000000-0005-0000-0000-000068000000}"/>
    <cellStyle name="Normal 6 3" xfId="95" xr:uid="{00000000-0005-0000-0000-000069000000}"/>
    <cellStyle name="Normal 7" xfId="60" xr:uid="{00000000-0005-0000-0000-00006A000000}"/>
    <cellStyle name="Normal 7 2" xfId="73" xr:uid="{00000000-0005-0000-0000-00006B000000}"/>
    <cellStyle name="Normal 7 2 2" xfId="108" xr:uid="{00000000-0005-0000-0000-00006C000000}"/>
    <cellStyle name="Normal 7 3" xfId="96" xr:uid="{00000000-0005-0000-0000-00006D000000}"/>
    <cellStyle name="Normal 8" xfId="74" xr:uid="{00000000-0005-0000-0000-00006E000000}"/>
    <cellStyle name="Normal 8 2" xfId="109" xr:uid="{00000000-0005-0000-0000-00006F000000}"/>
    <cellStyle name="Normal 9" xfId="75" xr:uid="{00000000-0005-0000-0000-000070000000}"/>
    <cellStyle name="Normal 9 2" xfId="110" xr:uid="{00000000-0005-0000-0000-000071000000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14"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</dxfs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Microsoft%20Excel%20Worksheet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ff-sal"/>
      <sheetName val="work-sAl"/>
      <sheetName val="staff"/>
      <sheetName val="worker"/>
    </sheetNames>
    <sheetDataSet>
      <sheetData sheetId="0">
        <row r="2">
          <cell r="B2">
            <v>1001</v>
          </cell>
          <cell r="C2">
            <v>100196077241</v>
          </cell>
          <cell r="D2">
            <v>0</v>
          </cell>
          <cell r="E2" t="str">
            <v>EPF</v>
          </cell>
          <cell r="F2" t="str">
            <v>KRISHNAN.A.P</v>
          </cell>
          <cell r="G2">
            <v>32995</v>
          </cell>
          <cell r="H2">
            <v>46233</v>
          </cell>
          <cell r="I2" t="str">
            <v>36 years,2 months</v>
          </cell>
          <cell r="J2">
            <v>60100</v>
          </cell>
          <cell r="K2">
            <v>3500</v>
          </cell>
          <cell r="L2">
            <v>63600</v>
          </cell>
          <cell r="M2">
            <v>27</v>
          </cell>
          <cell r="N2">
            <v>0</v>
          </cell>
          <cell r="O2">
            <v>0</v>
          </cell>
          <cell r="P2">
            <v>27</v>
          </cell>
          <cell r="Q2">
            <v>0</v>
          </cell>
          <cell r="R2">
            <v>27</v>
          </cell>
          <cell r="S2">
            <v>0</v>
          </cell>
        </row>
        <row r="3">
          <cell r="B3">
            <v>1009</v>
          </cell>
          <cell r="C3">
            <v>100394976425</v>
          </cell>
          <cell r="E3" t="str">
            <v>EPF</v>
          </cell>
          <cell r="F3" t="str">
            <v>UMASANKAR.R</v>
          </cell>
          <cell r="G3">
            <v>39176</v>
          </cell>
          <cell r="H3">
            <v>46233</v>
          </cell>
          <cell r="I3" t="str">
            <v>19 years,3 months</v>
          </cell>
          <cell r="J3">
            <v>54250</v>
          </cell>
          <cell r="K3">
            <v>4500</v>
          </cell>
          <cell r="L3">
            <v>58750</v>
          </cell>
          <cell r="M3">
            <v>25.5</v>
          </cell>
          <cell r="N3">
            <v>1</v>
          </cell>
          <cell r="O3">
            <v>2.5</v>
          </cell>
          <cell r="P3">
            <v>24.5</v>
          </cell>
          <cell r="Q3">
            <v>1</v>
          </cell>
          <cell r="R3">
            <v>25.5</v>
          </cell>
          <cell r="S3">
            <v>1.5</v>
          </cell>
        </row>
        <row r="4">
          <cell r="B4">
            <v>1006</v>
          </cell>
          <cell r="C4">
            <v>100196836078</v>
          </cell>
          <cell r="E4" t="str">
            <v>EPF</v>
          </cell>
          <cell r="F4" t="str">
            <v>KRISHNAMOORTHY.R</v>
          </cell>
          <cell r="G4">
            <v>38565</v>
          </cell>
          <cell r="H4">
            <v>46233</v>
          </cell>
          <cell r="I4" t="str">
            <v>20 years,11 months</v>
          </cell>
          <cell r="J4">
            <v>48372</v>
          </cell>
          <cell r="K4">
            <v>4000</v>
          </cell>
          <cell r="L4">
            <v>52372</v>
          </cell>
          <cell r="M4">
            <v>28</v>
          </cell>
          <cell r="N4">
            <v>3</v>
          </cell>
          <cell r="O4">
            <v>2</v>
          </cell>
          <cell r="P4">
            <v>25</v>
          </cell>
          <cell r="Q4">
            <v>2</v>
          </cell>
          <cell r="R4">
            <v>27</v>
          </cell>
          <cell r="S4">
            <v>0</v>
          </cell>
        </row>
        <row r="5">
          <cell r="B5">
            <v>1014</v>
          </cell>
          <cell r="C5">
            <v>100150715586</v>
          </cell>
          <cell r="E5" t="str">
            <v>EPF</v>
          </cell>
          <cell r="F5" t="str">
            <v>GANESHKUMAR.K.P</v>
          </cell>
          <cell r="G5">
            <v>41369</v>
          </cell>
          <cell r="H5">
            <v>46233</v>
          </cell>
          <cell r="I5" t="str">
            <v>13 years,3 months</v>
          </cell>
          <cell r="J5">
            <v>41000</v>
          </cell>
          <cell r="K5">
            <v>4000</v>
          </cell>
          <cell r="L5">
            <v>45000</v>
          </cell>
          <cell r="M5">
            <v>18</v>
          </cell>
          <cell r="N5">
            <v>2</v>
          </cell>
          <cell r="O5">
            <v>11</v>
          </cell>
          <cell r="P5">
            <v>16</v>
          </cell>
          <cell r="Q5">
            <v>2</v>
          </cell>
          <cell r="R5">
            <v>18</v>
          </cell>
          <cell r="S5">
            <v>2</v>
          </cell>
        </row>
        <row r="6">
          <cell r="B6">
            <v>10003</v>
          </cell>
          <cell r="C6">
            <v>100310862473</v>
          </cell>
          <cell r="E6" t="str">
            <v>EPF</v>
          </cell>
          <cell r="F6" t="str">
            <v>RAVIKUMAR.N</v>
          </cell>
          <cell r="G6">
            <v>36593</v>
          </cell>
          <cell r="H6">
            <v>46233</v>
          </cell>
          <cell r="I6" t="str">
            <v>26 years,4 months</v>
          </cell>
          <cell r="J6">
            <v>45110</v>
          </cell>
          <cell r="K6">
            <v>2890</v>
          </cell>
          <cell r="L6">
            <v>48000</v>
          </cell>
          <cell r="M6">
            <v>29</v>
          </cell>
          <cell r="N6">
            <v>2</v>
          </cell>
          <cell r="O6">
            <v>0</v>
          </cell>
          <cell r="P6">
            <v>27</v>
          </cell>
          <cell r="Q6">
            <v>0</v>
          </cell>
          <cell r="R6">
            <v>27</v>
          </cell>
          <cell r="S6">
            <v>0</v>
          </cell>
        </row>
        <row r="7">
          <cell r="B7">
            <v>1020</v>
          </cell>
          <cell r="C7">
            <v>101586300039</v>
          </cell>
          <cell r="E7" t="str">
            <v>EPF/ESI</v>
          </cell>
          <cell r="F7" t="str">
            <v>N.DHINESHKUMAR</v>
          </cell>
          <cell r="G7">
            <v>43621</v>
          </cell>
          <cell r="H7">
            <v>46233</v>
          </cell>
          <cell r="I7" t="str">
            <v>7 years,1 months</v>
          </cell>
          <cell r="J7">
            <v>24500</v>
          </cell>
          <cell r="K7">
            <v>4500</v>
          </cell>
          <cell r="L7">
            <v>29000</v>
          </cell>
          <cell r="M7">
            <v>20.5</v>
          </cell>
          <cell r="N7">
            <v>1.5</v>
          </cell>
          <cell r="O7">
            <v>8</v>
          </cell>
          <cell r="P7">
            <v>19</v>
          </cell>
          <cell r="Q7">
            <v>1.5</v>
          </cell>
          <cell r="R7">
            <v>20.5</v>
          </cell>
          <cell r="S7">
            <v>2</v>
          </cell>
        </row>
        <row r="8">
          <cell r="B8">
            <v>1021</v>
          </cell>
          <cell r="C8">
            <v>101586300041</v>
          </cell>
          <cell r="E8" t="str">
            <v>EPF</v>
          </cell>
          <cell r="F8" t="str">
            <v>A.PARTHASARATHI</v>
          </cell>
          <cell r="G8">
            <v>43621</v>
          </cell>
          <cell r="H8">
            <v>46233</v>
          </cell>
          <cell r="I8" t="str">
            <v>7 years,1 months</v>
          </cell>
          <cell r="J8">
            <v>26585</v>
          </cell>
          <cell r="K8">
            <v>4500</v>
          </cell>
          <cell r="L8">
            <v>31085</v>
          </cell>
          <cell r="M8">
            <v>31</v>
          </cell>
          <cell r="N8">
            <v>4</v>
          </cell>
          <cell r="O8">
            <v>0</v>
          </cell>
          <cell r="P8">
            <v>27</v>
          </cell>
          <cell r="Q8">
            <v>0</v>
          </cell>
          <cell r="R8">
            <v>27</v>
          </cell>
          <cell r="S8">
            <v>0</v>
          </cell>
        </row>
        <row r="9">
          <cell r="B9">
            <v>1025</v>
          </cell>
          <cell r="C9">
            <v>101277800875</v>
          </cell>
          <cell r="D9">
            <v>5609904442</v>
          </cell>
          <cell r="E9" t="str">
            <v>EPF/ESI</v>
          </cell>
          <cell r="F9" t="str">
            <v>V.VIJAY</v>
          </cell>
          <cell r="G9">
            <v>44435</v>
          </cell>
          <cell r="H9">
            <v>46233</v>
          </cell>
          <cell r="I9" t="str">
            <v>4 years,11 months</v>
          </cell>
          <cell r="J9">
            <v>19500</v>
          </cell>
          <cell r="K9">
            <v>3000</v>
          </cell>
          <cell r="L9">
            <v>22500</v>
          </cell>
          <cell r="M9">
            <v>23.5</v>
          </cell>
          <cell r="N9">
            <v>0</v>
          </cell>
          <cell r="O9">
            <v>3.5</v>
          </cell>
          <cell r="P9">
            <v>23.5</v>
          </cell>
          <cell r="Q9">
            <v>0</v>
          </cell>
          <cell r="R9">
            <v>23.5</v>
          </cell>
          <cell r="S9">
            <v>2</v>
          </cell>
        </row>
        <row r="10">
          <cell r="B10">
            <v>1019</v>
          </cell>
          <cell r="C10">
            <v>101620870841</v>
          </cell>
          <cell r="D10">
            <v>5611269029</v>
          </cell>
          <cell r="E10" t="str">
            <v>EPF/ESI</v>
          </cell>
          <cell r="F10" t="str">
            <v>SHIVA</v>
          </cell>
          <cell r="G10">
            <v>43191</v>
          </cell>
          <cell r="H10">
            <v>43914</v>
          </cell>
          <cell r="I10" t="str">
            <v>1 years,11 months</v>
          </cell>
          <cell r="J10">
            <v>20000</v>
          </cell>
          <cell r="K10">
            <v>2500</v>
          </cell>
          <cell r="L10">
            <v>22500</v>
          </cell>
          <cell r="M10">
            <v>27.5</v>
          </cell>
          <cell r="N10">
            <v>2</v>
          </cell>
          <cell r="O10">
            <v>1.5</v>
          </cell>
          <cell r="P10">
            <v>25.5</v>
          </cell>
          <cell r="Q10">
            <v>1.5</v>
          </cell>
          <cell r="R10">
            <v>27</v>
          </cell>
          <cell r="S10">
            <v>0</v>
          </cell>
        </row>
        <row r="11">
          <cell r="B11">
            <v>1072</v>
          </cell>
          <cell r="C11">
            <v>100338669305</v>
          </cell>
          <cell r="E11" t="str">
            <v>EPF</v>
          </cell>
          <cell r="F11" t="str">
            <v>G SARAVANAN</v>
          </cell>
          <cell r="G11">
            <v>45915</v>
          </cell>
          <cell r="H11">
            <v>46233</v>
          </cell>
          <cell r="I11" t="str">
            <v>0 years,10 months</v>
          </cell>
          <cell r="J11">
            <v>218000</v>
          </cell>
          <cell r="L11">
            <v>218000</v>
          </cell>
          <cell r="M11">
            <v>25</v>
          </cell>
          <cell r="N11">
            <v>0</v>
          </cell>
          <cell r="O11">
            <v>2</v>
          </cell>
          <cell r="P11">
            <v>25</v>
          </cell>
          <cell r="Q11">
            <v>0</v>
          </cell>
          <cell r="R11">
            <v>25</v>
          </cell>
          <cell r="S11">
            <v>2</v>
          </cell>
        </row>
        <row r="12">
          <cell r="B12">
            <v>1002</v>
          </cell>
          <cell r="C12">
            <v>100271280728</v>
          </cell>
          <cell r="E12" t="str">
            <v>EPF</v>
          </cell>
          <cell r="F12" t="str">
            <v>PERUMALSAMY.M</v>
          </cell>
          <cell r="G12">
            <v>35699</v>
          </cell>
          <cell r="H12">
            <v>46233</v>
          </cell>
          <cell r="I12" t="str">
            <v>28 years,10 months</v>
          </cell>
          <cell r="J12">
            <v>53500</v>
          </cell>
          <cell r="K12">
            <v>4000</v>
          </cell>
          <cell r="L12">
            <v>57500</v>
          </cell>
          <cell r="M12">
            <v>30</v>
          </cell>
          <cell r="N12">
            <v>1</v>
          </cell>
          <cell r="O12">
            <v>4</v>
          </cell>
          <cell r="P12">
            <v>26</v>
          </cell>
          <cell r="Q12">
            <v>1</v>
          </cell>
          <cell r="R12">
            <v>27</v>
          </cell>
          <cell r="S12">
            <v>0</v>
          </cell>
        </row>
        <row r="13">
          <cell r="B13">
            <v>10019</v>
          </cell>
          <cell r="C13">
            <v>100223657673</v>
          </cell>
          <cell r="E13" t="str">
            <v>EPF</v>
          </cell>
          <cell r="F13" t="str">
            <v>S.MARUTHAPANDIAN</v>
          </cell>
          <cell r="G13">
            <v>40000</v>
          </cell>
          <cell r="H13">
            <v>46233</v>
          </cell>
          <cell r="I13" t="str">
            <v>17 years,0 months</v>
          </cell>
          <cell r="J13">
            <v>34555</v>
          </cell>
          <cell r="K13">
            <v>1445</v>
          </cell>
          <cell r="L13">
            <v>36000</v>
          </cell>
          <cell r="M13">
            <v>30</v>
          </cell>
          <cell r="N13">
            <v>1</v>
          </cell>
          <cell r="O13">
            <v>4</v>
          </cell>
          <cell r="P13">
            <v>26</v>
          </cell>
          <cell r="Q13">
            <v>1</v>
          </cell>
          <cell r="R13">
            <v>27</v>
          </cell>
          <cell r="S13">
            <v>0</v>
          </cell>
        </row>
        <row r="14">
          <cell r="B14">
            <v>1022</v>
          </cell>
          <cell r="C14">
            <v>101562602009</v>
          </cell>
          <cell r="E14" t="str">
            <v>EPF</v>
          </cell>
          <cell r="F14" t="str">
            <v>M.SRIRAM</v>
          </cell>
          <cell r="G14">
            <v>43736</v>
          </cell>
          <cell r="H14">
            <v>46233</v>
          </cell>
          <cell r="I14" t="str">
            <v>6 years,10 months</v>
          </cell>
          <cell r="J14">
            <v>35500</v>
          </cell>
          <cell r="K14">
            <v>4500</v>
          </cell>
          <cell r="L14">
            <v>40000</v>
          </cell>
          <cell r="M14">
            <v>27</v>
          </cell>
          <cell r="N14">
            <v>2</v>
          </cell>
          <cell r="O14">
            <v>2</v>
          </cell>
          <cell r="P14">
            <v>25</v>
          </cell>
          <cell r="Q14">
            <v>2</v>
          </cell>
          <cell r="R14">
            <v>27</v>
          </cell>
          <cell r="S14">
            <v>0</v>
          </cell>
        </row>
        <row r="15">
          <cell r="B15">
            <v>1028</v>
          </cell>
          <cell r="C15">
            <v>100363627736</v>
          </cell>
          <cell r="E15" t="str">
            <v>EPF</v>
          </cell>
          <cell r="F15" t="str">
            <v>SUBBURAM</v>
          </cell>
          <cell r="G15">
            <v>44553</v>
          </cell>
          <cell r="H15">
            <v>46233</v>
          </cell>
          <cell r="I15" t="str">
            <v>4 years,7 months</v>
          </cell>
          <cell r="J15">
            <v>56500</v>
          </cell>
          <cell r="K15">
            <v>4000</v>
          </cell>
          <cell r="L15">
            <v>60500</v>
          </cell>
          <cell r="M15">
            <v>26</v>
          </cell>
          <cell r="N15">
            <v>0</v>
          </cell>
          <cell r="O15">
            <v>1</v>
          </cell>
          <cell r="P15">
            <v>26</v>
          </cell>
          <cell r="Q15">
            <v>0</v>
          </cell>
          <cell r="R15">
            <v>26</v>
          </cell>
          <cell r="S15">
            <v>1</v>
          </cell>
        </row>
        <row r="16">
          <cell r="B16">
            <v>1032</v>
          </cell>
          <cell r="C16">
            <v>102048949615</v>
          </cell>
          <cell r="D16">
            <v>5610462728</v>
          </cell>
          <cell r="E16" t="str">
            <v>EPF/ESI</v>
          </cell>
          <cell r="F16" t="str">
            <v>SILAMBARASAN</v>
          </cell>
          <cell r="G16">
            <v>44693</v>
          </cell>
          <cell r="H16">
            <v>46233</v>
          </cell>
          <cell r="I16" t="str">
            <v>4 years,2 months</v>
          </cell>
          <cell r="J16">
            <v>18000</v>
          </cell>
          <cell r="K16">
            <v>3500</v>
          </cell>
          <cell r="L16">
            <v>21500</v>
          </cell>
          <cell r="M16">
            <v>27</v>
          </cell>
          <cell r="N16">
            <v>2</v>
          </cell>
          <cell r="O16">
            <v>2</v>
          </cell>
          <cell r="P16">
            <v>25</v>
          </cell>
          <cell r="Q16">
            <v>2</v>
          </cell>
          <cell r="R16">
            <v>27</v>
          </cell>
          <cell r="S16">
            <v>0</v>
          </cell>
        </row>
        <row r="17">
          <cell r="B17">
            <v>1040</v>
          </cell>
          <cell r="C17">
            <v>101086054823</v>
          </cell>
          <cell r="D17">
            <v>5606723684</v>
          </cell>
          <cell r="E17" t="str">
            <v>EPF/ESI</v>
          </cell>
          <cell r="F17" t="str">
            <v>JAYABRINDHA</v>
          </cell>
          <cell r="G17">
            <v>44960</v>
          </cell>
          <cell r="H17">
            <v>46233</v>
          </cell>
          <cell r="I17" t="str">
            <v>3 years,5 months</v>
          </cell>
          <cell r="J17">
            <v>18000</v>
          </cell>
          <cell r="K17">
            <v>2000</v>
          </cell>
          <cell r="L17">
            <v>20000</v>
          </cell>
          <cell r="M17">
            <v>26</v>
          </cell>
          <cell r="N17">
            <v>0</v>
          </cell>
          <cell r="O17">
            <v>1</v>
          </cell>
          <cell r="P17">
            <v>26</v>
          </cell>
          <cell r="Q17">
            <v>0</v>
          </cell>
          <cell r="R17">
            <v>26</v>
          </cell>
          <cell r="S17">
            <v>1</v>
          </cell>
        </row>
        <row r="18">
          <cell r="B18">
            <v>1055</v>
          </cell>
          <cell r="C18">
            <v>101187107577</v>
          </cell>
          <cell r="E18" t="str">
            <v>EPF</v>
          </cell>
          <cell r="F18" t="str">
            <v>M.MANIKANDAN</v>
          </cell>
          <cell r="G18">
            <v>45300</v>
          </cell>
          <cell r="H18">
            <v>46233</v>
          </cell>
          <cell r="I18" t="str">
            <v>2 years,6 months</v>
          </cell>
          <cell r="J18">
            <v>37500</v>
          </cell>
          <cell r="K18">
            <v>4500</v>
          </cell>
          <cell r="L18">
            <v>42000</v>
          </cell>
          <cell r="M18">
            <v>25</v>
          </cell>
          <cell r="N18">
            <v>2</v>
          </cell>
          <cell r="O18">
            <v>4</v>
          </cell>
          <cell r="P18">
            <v>23</v>
          </cell>
          <cell r="Q18">
            <v>2</v>
          </cell>
          <cell r="R18">
            <v>25</v>
          </cell>
          <cell r="S18">
            <v>2</v>
          </cell>
        </row>
        <row r="19">
          <cell r="B19">
            <v>1059</v>
          </cell>
          <cell r="C19">
            <v>102226713577</v>
          </cell>
          <cell r="D19">
            <v>5611331708</v>
          </cell>
          <cell r="E19" t="str">
            <v>EPF/ESI</v>
          </cell>
          <cell r="F19" t="str">
            <v>KRISHNAN</v>
          </cell>
          <cell r="G19">
            <v>45352</v>
          </cell>
          <cell r="H19">
            <v>46233</v>
          </cell>
          <cell r="I19" t="str">
            <v>2 years,4 months</v>
          </cell>
          <cell r="J19">
            <v>16500</v>
          </cell>
          <cell r="K19">
            <v>3500</v>
          </cell>
          <cell r="L19">
            <v>20000</v>
          </cell>
          <cell r="M19">
            <v>6</v>
          </cell>
          <cell r="N19">
            <v>0</v>
          </cell>
          <cell r="O19">
            <v>0</v>
          </cell>
          <cell r="P19">
            <v>6</v>
          </cell>
          <cell r="Q19">
            <v>0</v>
          </cell>
          <cell r="R19">
            <v>6</v>
          </cell>
          <cell r="S19">
            <v>0</v>
          </cell>
        </row>
        <row r="20">
          <cell r="B20">
            <v>1087</v>
          </cell>
          <cell r="C20" t="str">
            <v>100167234059</v>
          </cell>
          <cell r="F20" t="str">
            <v>A.INDIRAN</v>
          </cell>
          <cell r="G20">
            <v>38261</v>
          </cell>
          <cell r="H20">
            <v>46233</v>
          </cell>
          <cell r="I20" t="str">
            <v>21 years,9 months</v>
          </cell>
          <cell r="L20">
            <v>57750</v>
          </cell>
          <cell r="M20">
            <v>19</v>
          </cell>
          <cell r="N20">
            <v>1</v>
          </cell>
          <cell r="O20">
            <v>10</v>
          </cell>
          <cell r="P20">
            <v>18</v>
          </cell>
          <cell r="Q20">
            <v>1</v>
          </cell>
          <cell r="R20">
            <v>19</v>
          </cell>
          <cell r="S20">
            <v>2</v>
          </cell>
        </row>
        <row r="21">
          <cell r="B21">
            <v>1003</v>
          </cell>
          <cell r="C21">
            <v>100268861363</v>
          </cell>
          <cell r="E21" t="str">
            <v>EPF</v>
          </cell>
          <cell r="F21" t="str">
            <v>PARTHIPAN.S</v>
          </cell>
          <cell r="G21">
            <v>37261</v>
          </cell>
          <cell r="H21">
            <v>46233</v>
          </cell>
          <cell r="I21" t="str">
            <v>24 years,6 months</v>
          </cell>
          <cell r="J21">
            <v>48000</v>
          </cell>
          <cell r="K21">
            <v>3500</v>
          </cell>
          <cell r="L21">
            <v>51500</v>
          </cell>
          <cell r="M21">
            <v>26.5</v>
          </cell>
          <cell r="N21">
            <v>0</v>
          </cell>
          <cell r="O21">
            <v>0.5</v>
          </cell>
          <cell r="P21">
            <v>26.5</v>
          </cell>
          <cell r="Q21">
            <v>0</v>
          </cell>
          <cell r="R21">
            <v>26.5</v>
          </cell>
          <cell r="S21">
            <v>0.5</v>
          </cell>
        </row>
        <row r="22">
          <cell r="B22">
            <v>1013</v>
          </cell>
          <cell r="C22">
            <v>100369663193</v>
          </cell>
          <cell r="E22" t="str">
            <v>EPF</v>
          </cell>
          <cell r="F22" t="str">
            <v>SUNDARRAJAN.T</v>
          </cell>
          <cell r="G22">
            <v>40639</v>
          </cell>
          <cell r="H22">
            <v>46233</v>
          </cell>
          <cell r="I22" t="str">
            <v>15 years,3 months</v>
          </cell>
          <cell r="J22">
            <v>31040</v>
          </cell>
          <cell r="K22">
            <v>2000</v>
          </cell>
          <cell r="L22">
            <v>33040</v>
          </cell>
          <cell r="M22">
            <v>27</v>
          </cell>
          <cell r="N22">
            <v>1</v>
          </cell>
          <cell r="O22">
            <v>1</v>
          </cell>
          <cell r="P22">
            <v>26</v>
          </cell>
          <cell r="Q22">
            <v>1</v>
          </cell>
          <cell r="R22">
            <v>27</v>
          </cell>
          <cell r="S22">
            <v>0</v>
          </cell>
        </row>
        <row r="23">
          <cell r="B23">
            <v>1024</v>
          </cell>
          <cell r="C23">
            <v>101662725486</v>
          </cell>
          <cell r="D23">
            <v>5131731054</v>
          </cell>
          <cell r="E23" t="str">
            <v>EPF/ESI</v>
          </cell>
          <cell r="F23" t="str">
            <v>R.SAKILRAJ</v>
          </cell>
          <cell r="G23">
            <v>44435</v>
          </cell>
          <cell r="H23">
            <v>46233</v>
          </cell>
          <cell r="I23" t="str">
            <v>4 years,11 months</v>
          </cell>
          <cell r="J23">
            <v>18500</v>
          </cell>
          <cell r="K23">
            <v>2000</v>
          </cell>
          <cell r="L23">
            <v>20500</v>
          </cell>
          <cell r="M23">
            <v>26</v>
          </cell>
          <cell r="N23">
            <v>0</v>
          </cell>
          <cell r="O23">
            <v>1</v>
          </cell>
          <cell r="P23">
            <v>26</v>
          </cell>
          <cell r="Q23">
            <v>0</v>
          </cell>
          <cell r="R23">
            <v>26</v>
          </cell>
          <cell r="S23">
            <v>1</v>
          </cell>
        </row>
        <row r="24">
          <cell r="B24">
            <v>1042</v>
          </cell>
          <cell r="C24">
            <v>102191645074</v>
          </cell>
          <cell r="D24">
            <v>5611162092</v>
          </cell>
          <cell r="E24" t="str">
            <v>EPF/ESI</v>
          </cell>
          <cell r="F24" t="str">
            <v>V.CHARUKESHINI</v>
          </cell>
          <cell r="G24">
            <v>44984</v>
          </cell>
          <cell r="H24">
            <v>46233</v>
          </cell>
          <cell r="I24" t="str">
            <v>3 years,5 months</v>
          </cell>
          <cell r="J24">
            <v>14500</v>
          </cell>
          <cell r="K24">
            <v>1500</v>
          </cell>
          <cell r="L24">
            <v>16000</v>
          </cell>
          <cell r="M24">
            <v>25</v>
          </cell>
          <cell r="N24">
            <v>0</v>
          </cell>
          <cell r="O24">
            <v>2</v>
          </cell>
          <cell r="P24">
            <v>25</v>
          </cell>
          <cell r="Q24">
            <v>0</v>
          </cell>
          <cell r="R24">
            <v>25</v>
          </cell>
          <cell r="S24">
            <v>2</v>
          </cell>
        </row>
        <row r="25">
          <cell r="B25">
            <v>1005</v>
          </cell>
          <cell r="C25">
            <v>100404957384</v>
          </cell>
          <cell r="E25" t="str">
            <v>EPF</v>
          </cell>
          <cell r="F25" t="str">
            <v>VIJAYAKUMAR.G</v>
          </cell>
          <cell r="G25">
            <v>38477</v>
          </cell>
          <cell r="H25">
            <v>46233</v>
          </cell>
          <cell r="I25" t="str">
            <v>21 years,2 months</v>
          </cell>
          <cell r="J25">
            <v>45984</v>
          </cell>
          <cell r="K25">
            <v>3500</v>
          </cell>
          <cell r="L25">
            <v>49484</v>
          </cell>
          <cell r="M25">
            <v>25</v>
          </cell>
          <cell r="N25">
            <v>0</v>
          </cell>
          <cell r="O25">
            <v>2</v>
          </cell>
          <cell r="P25">
            <v>25</v>
          </cell>
          <cell r="Q25">
            <v>0</v>
          </cell>
          <cell r="R25">
            <v>25</v>
          </cell>
          <cell r="S25">
            <v>2</v>
          </cell>
        </row>
        <row r="26">
          <cell r="B26">
            <v>1012</v>
          </cell>
          <cell r="C26">
            <v>100190929528</v>
          </cell>
          <cell r="E26" t="str">
            <v>EPF</v>
          </cell>
          <cell r="F26" t="str">
            <v>PAUL.R</v>
          </cell>
          <cell r="G26">
            <v>39970</v>
          </cell>
          <cell r="H26">
            <v>46233</v>
          </cell>
          <cell r="I26" t="str">
            <v>17 years,1 months</v>
          </cell>
          <cell r="J26">
            <v>40735</v>
          </cell>
          <cell r="K26">
            <v>3500</v>
          </cell>
          <cell r="L26">
            <v>44235</v>
          </cell>
          <cell r="M26">
            <v>25</v>
          </cell>
          <cell r="N26">
            <v>1</v>
          </cell>
          <cell r="O26">
            <v>3</v>
          </cell>
          <cell r="P26">
            <v>24</v>
          </cell>
          <cell r="Q26">
            <v>1</v>
          </cell>
          <cell r="R26">
            <v>25</v>
          </cell>
          <cell r="S26">
            <v>2</v>
          </cell>
        </row>
        <row r="27">
          <cell r="B27">
            <v>1010</v>
          </cell>
          <cell r="C27">
            <v>100391371693</v>
          </cell>
          <cell r="E27" t="str">
            <v>EPF</v>
          </cell>
          <cell r="F27" t="str">
            <v>THIYAGU.S</v>
          </cell>
          <cell r="G27">
            <v>39273</v>
          </cell>
          <cell r="H27">
            <v>46233</v>
          </cell>
          <cell r="I27" t="str">
            <v>19 years,0 months</v>
          </cell>
          <cell r="J27">
            <v>52250</v>
          </cell>
          <cell r="K27">
            <v>4000</v>
          </cell>
          <cell r="L27">
            <v>56250</v>
          </cell>
          <cell r="M27">
            <v>27</v>
          </cell>
          <cell r="N27">
            <v>0</v>
          </cell>
          <cell r="O27">
            <v>0</v>
          </cell>
          <cell r="P27">
            <v>27</v>
          </cell>
          <cell r="Q27">
            <v>0</v>
          </cell>
          <cell r="R27">
            <v>27</v>
          </cell>
          <cell r="S27">
            <v>0</v>
          </cell>
        </row>
        <row r="28">
          <cell r="B28">
            <v>1038</v>
          </cell>
          <cell r="C28">
            <v>102074864881</v>
          </cell>
          <cell r="E28" t="str">
            <v>EPF/ESI</v>
          </cell>
          <cell r="F28" t="str">
            <v xml:space="preserve">GOWTHAM </v>
          </cell>
          <cell r="G28">
            <v>44930</v>
          </cell>
          <cell r="H28">
            <v>46233</v>
          </cell>
          <cell r="I28" t="str">
            <v>3 years,6 months</v>
          </cell>
          <cell r="J28">
            <v>21000</v>
          </cell>
          <cell r="K28">
            <v>4000</v>
          </cell>
          <cell r="L28">
            <v>25000</v>
          </cell>
          <cell r="M28">
            <v>28</v>
          </cell>
          <cell r="N28">
            <v>1</v>
          </cell>
          <cell r="O28">
            <v>0</v>
          </cell>
          <cell r="P28">
            <v>27</v>
          </cell>
          <cell r="Q28">
            <v>0</v>
          </cell>
          <cell r="R28">
            <v>27</v>
          </cell>
          <cell r="S28">
            <v>0</v>
          </cell>
        </row>
        <row r="29">
          <cell r="B29">
            <v>1047</v>
          </cell>
          <cell r="C29">
            <v>101856445200</v>
          </cell>
          <cell r="D29">
            <v>5610589080</v>
          </cell>
          <cell r="E29" t="str">
            <v>EPF/ESI</v>
          </cell>
          <cell r="F29" t="str">
            <v xml:space="preserve">KARTHIKEYAN </v>
          </cell>
          <cell r="G29">
            <v>45084</v>
          </cell>
          <cell r="H29">
            <v>46233</v>
          </cell>
          <cell r="I29" t="str">
            <v>3 years,1 months</v>
          </cell>
          <cell r="J29">
            <v>19500</v>
          </cell>
          <cell r="K29">
            <v>3000</v>
          </cell>
          <cell r="L29">
            <v>22500</v>
          </cell>
          <cell r="M29">
            <v>25</v>
          </cell>
          <cell r="N29">
            <v>0</v>
          </cell>
          <cell r="O29">
            <v>2</v>
          </cell>
          <cell r="P29">
            <v>25</v>
          </cell>
          <cell r="Q29">
            <v>0</v>
          </cell>
          <cell r="R29">
            <v>25</v>
          </cell>
          <cell r="S29">
            <v>2</v>
          </cell>
        </row>
        <row r="30">
          <cell r="B30">
            <v>1050</v>
          </cell>
          <cell r="C30">
            <v>102074864899</v>
          </cell>
          <cell r="D30">
            <v>5610589061</v>
          </cell>
          <cell r="E30" t="str">
            <v>EPF/ESI</v>
          </cell>
          <cell r="F30" t="str">
            <v xml:space="preserve">KUMARESAN </v>
          </cell>
          <cell r="G30">
            <v>45091</v>
          </cell>
          <cell r="H30">
            <v>46233</v>
          </cell>
          <cell r="I30" t="str">
            <v>3 years,1 months</v>
          </cell>
          <cell r="J30">
            <v>19500</v>
          </cell>
          <cell r="K30">
            <v>3000</v>
          </cell>
          <cell r="L30">
            <v>22500</v>
          </cell>
          <cell r="M30">
            <v>26</v>
          </cell>
          <cell r="N30">
            <v>0</v>
          </cell>
          <cell r="O30">
            <v>1</v>
          </cell>
          <cell r="P30">
            <v>26</v>
          </cell>
          <cell r="Q30">
            <v>0</v>
          </cell>
          <cell r="R30">
            <v>26</v>
          </cell>
          <cell r="S30">
            <v>1</v>
          </cell>
        </row>
        <row r="31">
          <cell r="B31">
            <v>1035</v>
          </cell>
          <cell r="C31">
            <v>101774638141</v>
          </cell>
          <cell r="E31" t="str">
            <v>EPF/ESI</v>
          </cell>
          <cell r="F31" t="str">
            <v xml:space="preserve">R.DIVYA </v>
          </cell>
          <cell r="G31">
            <v>44764</v>
          </cell>
          <cell r="H31">
            <v>46233</v>
          </cell>
          <cell r="I31" t="str">
            <v>4 years,0 months</v>
          </cell>
          <cell r="J31">
            <v>21000</v>
          </cell>
          <cell r="K31">
            <v>2500</v>
          </cell>
          <cell r="L31">
            <v>23500</v>
          </cell>
          <cell r="M31">
            <v>28.5</v>
          </cell>
          <cell r="N31">
            <v>1.5</v>
          </cell>
          <cell r="O31">
            <v>0</v>
          </cell>
          <cell r="P31">
            <v>27</v>
          </cell>
          <cell r="Q31">
            <v>0</v>
          </cell>
          <cell r="R31">
            <v>27</v>
          </cell>
          <cell r="S31">
            <v>0</v>
          </cell>
        </row>
        <row r="32">
          <cell r="B32">
            <v>1007</v>
          </cell>
          <cell r="C32">
            <v>100400131756</v>
          </cell>
          <cell r="E32" t="str">
            <v>EPF</v>
          </cell>
          <cell r="F32" t="str">
            <v>VANITHA.S</v>
          </cell>
          <cell r="G32">
            <v>38670</v>
          </cell>
          <cell r="H32">
            <v>46233</v>
          </cell>
          <cell r="I32" t="str">
            <v>20 years,8 months</v>
          </cell>
          <cell r="J32">
            <v>42735</v>
          </cell>
          <cell r="K32">
            <v>3500</v>
          </cell>
          <cell r="L32">
            <v>46235</v>
          </cell>
          <cell r="M32">
            <v>26</v>
          </cell>
          <cell r="N32">
            <v>1.5</v>
          </cell>
          <cell r="O32">
            <v>2.5</v>
          </cell>
          <cell r="P32">
            <v>24.5</v>
          </cell>
          <cell r="Q32">
            <v>1.5</v>
          </cell>
          <cell r="R32">
            <v>26</v>
          </cell>
          <cell r="S32">
            <v>1</v>
          </cell>
        </row>
        <row r="33">
          <cell r="B33">
            <v>1058</v>
          </cell>
          <cell r="C33">
            <v>100287560683</v>
          </cell>
          <cell r="E33" t="str">
            <v>EPF</v>
          </cell>
          <cell r="F33" t="str">
            <v>R VENKATESH</v>
          </cell>
          <cell r="G33">
            <v>45434</v>
          </cell>
          <cell r="H33">
            <v>46233</v>
          </cell>
          <cell r="I33" t="str">
            <v>2 years,2 months</v>
          </cell>
          <cell r="J33">
            <v>33500</v>
          </cell>
          <cell r="K33">
            <v>2500</v>
          </cell>
          <cell r="L33">
            <v>36000</v>
          </cell>
          <cell r="M33">
            <v>27</v>
          </cell>
          <cell r="N33">
            <v>0</v>
          </cell>
          <cell r="O33">
            <v>0</v>
          </cell>
          <cell r="P33">
            <v>27</v>
          </cell>
          <cell r="Q33">
            <v>0</v>
          </cell>
          <cell r="R33">
            <v>27</v>
          </cell>
          <cell r="S33">
            <v>0</v>
          </cell>
        </row>
        <row r="34">
          <cell r="B34">
            <v>1089</v>
          </cell>
          <cell r="C34" t="str">
            <v>101131229961</v>
          </cell>
          <cell r="E34" t="str">
            <v>EPF</v>
          </cell>
          <cell r="F34" t="str">
            <v>K.KARTHIK</v>
          </cell>
          <cell r="G34">
            <v>46230</v>
          </cell>
          <cell r="H34">
            <v>46233</v>
          </cell>
          <cell r="I34" t="str">
            <v>0 years,0 months</v>
          </cell>
          <cell r="L34">
            <v>42000</v>
          </cell>
          <cell r="M34">
            <v>5</v>
          </cell>
          <cell r="N34">
            <v>0</v>
          </cell>
          <cell r="O34">
            <v>0</v>
          </cell>
          <cell r="P34">
            <v>5</v>
          </cell>
          <cell r="Q34">
            <v>0</v>
          </cell>
          <cell r="R34">
            <v>5</v>
          </cell>
          <cell r="S34">
            <v>0</v>
          </cell>
        </row>
        <row r="35">
          <cell r="B35">
            <v>1004</v>
          </cell>
          <cell r="C35">
            <v>100402161422</v>
          </cell>
          <cell r="E35" t="str">
            <v>EPF</v>
          </cell>
          <cell r="F35" t="str">
            <v>VENKATACHALAM.R</v>
          </cell>
          <cell r="G35">
            <v>38182</v>
          </cell>
          <cell r="H35">
            <v>46233</v>
          </cell>
          <cell r="I35" t="str">
            <v>22 years,0 months</v>
          </cell>
          <cell r="J35">
            <v>46484</v>
          </cell>
          <cell r="K35">
            <v>3500</v>
          </cell>
          <cell r="L35">
            <v>49984</v>
          </cell>
          <cell r="M35">
            <v>22.5</v>
          </cell>
          <cell r="N35">
            <v>0.5</v>
          </cell>
          <cell r="O35">
            <v>5</v>
          </cell>
          <cell r="P35">
            <v>22</v>
          </cell>
          <cell r="Q35">
            <v>0.5</v>
          </cell>
          <cell r="R35">
            <v>22.5</v>
          </cell>
          <cell r="S35">
            <v>2</v>
          </cell>
        </row>
        <row r="36">
          <cell r="B36">
            <v>1017</v>
          </cell>
          <cell r="C36">
            <v>101187107583</v>
          </cell>
          <cell r="E36" t="str">
            <v>EPF</v>
          </cell>
          <cell r="F36" t="str">
            <v>P.VIDHYA</v>
          </cell>
          <cell r="G36">
            <v>42499</v>
          </cell>
          <cell r="H36">
            <v>46233</v>
          </cell>
          <cell r="I36" t="str">
            <v>10 years,2 months</v>
          </cell>
          <cell r="J36">
            <v>26720</v>
          </cell>
          <cell r="K36">
            <v>2500</v>
          </cell>
          <cell r="L36">
            <v>29220</v>
          </cell>
          <cell r="M36">
            <v>24</v>
          </cell>
          <cell r="N36">
            <v>0</v>
          </cell>
          <cell r="O36">
            <v>3</v>
          </cell>
          <cell r="P36">
            <v>24</v>
          </cell>
          <cell r="Q36">
            <v>0</v>
          </cell>
          <cell r="R36">
            <v>24</v>
          </cell>
          <cell r="S36">
            <v>2</v>
          </cell>
        </row>
        <row r="37">
          <cell r="B37">
            <v>1016</v>
          </cell>
          <cell r="C37">
            <v>101142682317</v>
          </cell>
          <cell r="E37" t="str">
            <v>EPF</v>
          </cell>
          <cell r="F37" t="str">
            <v>VANMATHI.S</v>
          </cell>
          <cell r="G37">
            <v>42321</v>
          </cell>
          <cell r="H37">
            <v>46233</v>
          </cell>
          <cell r="I37" t="str">
            <v>10 years,8 months</v>
          </cell>
          <cell r="J37">
            <v>26550</v>
          </cell>
          <cell r="K37">
            <v>2500</v>
          </cell>
          <cell r="L37">
            <v>29050</v>
          </cell>
          <cell r="M37">
            <v>27</v>
          </cell>
          <cell r="N37">
            <v>0</v>
          </cell>
          <cell r="O37">
            <v>0</v>
          </cell>
          <cell r="P37">
            <v>27</v>
          </cell>
          <cell r="Q37">
            <v>0</v>
          </cell>
          <cell r="R37">
            <v>27</v>
          </cell>
          <cell r="S37">
            <v>0</v>
          </cell>
        </row>
        <row r="38">
          <cell r="B38">
            <v>1501</v>
          </cell>
          <cell r="C38">
            <v>100204604139</v>
          </cell>
          <cell r="E38" t="str">
            <v>EPF</v>
          </cell>
          <cell r="F38" t="str">
            <v>LAWRANCE.R</v>
          </cell>
          <cell r="G38">
            <v>40133</v>
          </cell>
          <cell r="H38">
            <v>46233</v>
          </cell>
          <cell r="I38" t="str">
            <v>16 years,8 months</v>
          </cell>
          <cell r="J38">
            <v>25850</v>
          </cell>
          <cell r="K38">
            <v>2000</v>
          </cell>
          <cell r="L38">
            <v>27850</v>
          </cell>
          <cell r="M38">
            <v>21</v>
          </cell>
          <cell r="N38">
            <v>0</v>
          </cell>
          <cell r="O38">
            <v>6</v>
          </cell>
          <cell r="P38">
            <v>21</v>
          </cell>
          <cell r="Q38">
            <v>0</v>
          </cell>
          <cell r="R38">
            <v>21</v>
          </cell>
          <cell r="S38">
            <v>2</v>
          </cell>
        </row>
        <row r="39">
          <cell r="B39">
            <v>1503</v>
          </cell>
          <cell r="C39">
            <v>101433821695</v>
          </cell>
          <cell r="E39" t="str">
            <v>EPF</v>
          </cell>
          <cell r="F39" t="str">
            <v>KARTHIKRAJA.M</v>
          </cell>
          <cell r="G39">
            <v>42328</v>
          </cell>
          <cell r="H39">
            <v>46233</v>
          </cell>
          <cell r="I39" t="str">
            <v>10 years,8 months</v>
          </cell>
          <cell r="J39">
            <v>23650</v>
          </cell>
          <cell r="K39">
            <v>2000</v>
          </cell>
          <cell r="L39">
            <v>25650</v>
          </cell>
          <cell r="M39">
            <v>25</v>
          </cell>
          <cell r="N39">
            <v>2</v>
          </cell>
          <cell r="O39">
            <v>4</v>
          </cell>
          <cell r="P39">
            <v>23</v>
          </cell>
          <cell r="Q39">
            <v>2</v>
          </cell>
          <cell r="R39">
            <v>25</v>
          </cell>
          <cell r="S39">
            <v>2</v>
          </cell>
        </row>
        <row r="40">
          <cell r="B40">
            <v>1505</v>
          </cell>
          <cell r="C40">
            <v>102226713565</v>
          </cell>
          <cell r="D40">
            <v>5611331730</v>
          </cell>
          <cell r="E40" t="str">
            <v>EPF/ESI</v>
          </cell>
          <cell r="F40" t="str">
            <v>SURESH KUMAR</v>
          </cell>
          <cell r="G40">
            <v>45273</v>
          </cell>
          <cell r="H40">
            <v>46233</v>
          </cell>
          <cell r="I40" t="str">
            <v>2 years,7 months</v>
          </cell>
          <cell r="J40">
            <v>20000</v>
          </cell>
          <cell r="K40">
            <v>2000</v>
          </cell>
          <cell r="L40">
            <v>22000</v>
          </cell>
          <cell r="M40">
            <v>27</v>
          </cell>
          <cell r="N40">
            <v>1</v>
          </cell>
          <cell r="O40">
            <v>1</v>
          </cell>
          <cell r="P40">
            <v>26</v>
          </cell>
          <cell r="Q40">
            <v>1</v>
          </cell>
          <cell r="R40">
            <v>27</v>
          </cell>
          <cell r="S40">
            <v>0</v>
          </cell>
        </row>
        <row r="41">
          <cell r="B41">
            <v>1506</v>
          </cell>
          <cell r="C41">
            <v>102250802421</v>
          </cell>
          <cell r="D41">
            <v>5611433113</v>
          </cell>
          <cell r="E41" t="str">
            <v>EPF/ESI</v>
          </cell>
          <cell r="F41" t="str">
            <v>CRISTOPHER</v>
          </cell>
          <cell r="G41">
            <v>45511</v>
          </cell>
          <cell r="H41">
            <v>46233</v>
          </cell>
          <cell r="I41" t="str">
            <v>1 years,11 months</v>
          </cell>
          <cell r="J41">
            <v>18500</v>
          </cell>
          <cell r="K41">
            <v>2000</v>
          </cell>
          <cell r="L41">
            <v>20500</v>
          </cell>
          <cell r="M41">
            <v>27</v>
          </cell>
          <cell r="N41">
            <v>2</v>
          </cell>
          <cell r="O41">
            <v>2</v>
          </cell>
          <cell r="P41">
            <v>25</v>
          </cell>
          <cell r="Q41">
            <v>2</v>
          </cell>
          <cell r="R41">
            <v>27</v>
          </cell>
          <cell r="S41">
            <v>0</v>
          </cell>
        </row>
        <row r="47">
          <cell r="B47">
            <v>1085</v>
          </cell>
          <cell r="F47" t="str">
            <v>POOVARASAN</v>
          </cell>
          <cell r="G47">
            <v>46207</v>
          </cell>
          <cell r="H47">
            <v>46233</v>
          </cell>
          <cell r="I47" t="str">
            <v>0 years,0 months</v>
          </cell>
          <cell r="J47">
            <v>15000</v>
          </cell>
          <cell r="L47">
            <v>15000</v>
          </cell>
          <cell r="M47">
            <v>24</v>
          </cell>
          <cell r="N47">
            <v>0</v>
          </cell>
          <cell r="O47">
            <v>0</v>
          </cell>
          <cell r="P47">
            <v>24</v>
          </cell>
          <cell r="Q47">
            <v>0</v>
          </cell>
          <cell r="S47">
            <v>0</v>
          </cell>
        </row>
        <row r="48">
          <cell r="B48">
            <v>1074</v>
          </cell>
          <cell r="F48" t="str">
            <v>M.ARUNKUMAR</v>
          </cell>
          <cell r="G48">
            <v>46096</v>
          </cell>
          <cell r="H48">
            <v>46233</v>
          </cell>
          <cell r="I48" t="str">
            <v>0 years,4 months</v>
          </cell>
          <cell r="L48">
            <v>17500</v>
          </cell>
          <cell r="M48">
            <v>19</v>
          </cell>
          <cell r="N48">
            <v>1</v>
          </cell>
          <cell r="O48">
            <v>9</v>
          </cell>
          <cell r="P48">
            <v>18</v>
          </cell>
          <cell r="Q48">
            <v>1</v>
          </cell>
          <cell r="S48">
            <v>0</v>
          </cell>
        </row>
        <row r="49">
          <cell r="B49">
            <v>20364</v>
          </cell>
          <cell r="F49" t="str">
            <v>ANNAVI</v>
          </cell>
          <cell r="G49">
            <v>39173</v>
          </cell>
          <cell r="H49">
            <v>46233</v>
          </cell>
          <cell r="I49" t="str">
            <v>19 years,3 months</v>
          </cell>
          <cell r="J49">
            <v>18000</v>
          </cell>
          <cell r="L49">
            <v>18000</v>
          </cell>
          <cell r="M49">
            <v>25</v>
          </cell>
          <cell r="N49">
            <v>0</v>
          </cell>
          <cell r="O49">
            <v>2</v>
          </cell>
          <cell r="P49">
            <v>25</v>
          </cell>
          <cell r="Q49">
            <v>0</v>
          </cell>
          <cell r="S49">
            <v>2</v>
          </cell>
        </row>
        <row r="50">
          <cell r="B50">
            <v>1070</v>
          </cell>
          <cell r="F50" t="str">
            <v>S.SURENDRAN</v>
          </cell>
          <cell r="G50">
            <v>45854</v>
          </cell>
          <cell r="H50">
            <v>46233</v>
          </cell>
          <cell r="I50" t="str">
            <v>1 years,0 months</v>
          </cell>
          <cell r="J50">
            <v>15000</v>
          </cell>
          <cell r="L50">
            <v>15000</v>
          </cell>
          <cell r="M50">
            <v>31</v>
          </cell>
          <cell r="N50">
            <v>4</v>
          </cell>
          <cell r="O50">
            <v>0</v>
          </cell>
          <cell r="P50">
            <v>27</v>
          </cell>
          <cell r="Q50">
            <v>0</v>
          </cell>
          <cell r="S50">
            <v>0</v>
          </cell>
        </row>
        <row r="51">
          <cell r="B51">
            <v>1088</v>
          </cell>
          <cell r="F51" t="str">
            <v>B.PERARASI</v>
          </cell>
          <cell r="G51">
            <v>46230</v>
          </cell>
          <cell r="H51">
            <v>46233</v>
          </cell>
          <cell r="I51" t="str">
            <v>0 years,0 months</v>
          </cell>
          <cell r="L51">
            <v>12500</v>
          </cell>
          <cell r="M51">
            <v>5</v>
          </cell>
          <cell r="N51">
            <v>0</v>
          </cell>
          <cell r="O51">
            <v>2</v>
          </cell>
          <cell r="P51">
            <v>5</v>
          </cell>
          <cell r="Q51">
            <v>0</v>
          </cell>
          <cell r="S51">
            <v>0</v>
          </cell>
        </row>
        <row r="52">
          <cell r="B52">
            <v>1064</v>
          </cell>
          <cell r="F52" t="str">
            <v>VAISHNAVI</v>
          </cell>
          <cell r="G52">
            <v>45646</v>
          </cell>
          <cell r="H52">
            <v>46233</v>
          </cell>
          <cell r="I52" t="str">
            <v>1 years,7 months</v>
          </cell>
          <cell r="J52">
            <v>15000</v>
          </cell>
          <cell r="K52">
            <v>2000</v>
          </cell>
          <cell r="L52">
            <v>17000</v>
          </cell>
          <cell r="M52">
            <v>23</v>
          </cell>
          <cell r="N52">
            <v>0</v>
          </cell>
          <cell r="O52">
            <v>4</v>
          </cell>
          <cell r="P52">
            <v>23</v>
          </cell>
          <cell r="Q52">
            <v>0</v>
          </cell>
          <cell r="S52">
            <v>2</v>
          </cell>
        </row>
        <row r="53">
          <cell r="B53">
            <v>1074</v>
          </cell>
          <cell r="F53" t="str">
            <v>J.HILLDA STEFFY</v>
          </cell>
          <cell r="L53">
            <v>15000</v>
          </cell>
          <cell r="M53">
            <v>13</v>
          </cell>
          <cell r="N53">
            <v>0</v>
          </cell>
          <cell r="O53">
            <v>14</v>
          </cell>
          <cell r="P53">
            <v>13</v>
          </cell>
          <cell r="Q53">
            <v>0</v>
          </cell>
          <cell r="S53">
            <v>0</v>
          </cell>
        </row>
        <row r="54">
          <cell r="F54" t="str">
            <v>M.SENTHILMANI</v>
          </cell>
          <cell r="J54">
            <v>52500</v>
          </cell>
          <cell r="K54">
            <v>2500</v>
          </cell>
          <cell r="L54">
            <v>55000</v>
          </cell>
          <cell r="M54">
            <v>27</v>
          </cell>
          <cell r="N54">
            <v>0</v>
          </cell>
          <cell r="O54">
            <v>0</v>
          </cell>
          <cell r="P54">
            <v>27</v>
          </cell>
          <cell r="Q54">
            <v>0</v>
          </cell>
          <cell r="S54">
            <v>0</v>
          </cell>
        </row>
        <row r="55">
          <cell r="F55" t="str">
            <v>T.K.MUTHUSAMY</v>
          </cell>
          <cell r="J55">
            <v>27500</v>
          </cell>
          <cell r="L55">
            <v>27500</v>
          </cell>
          <cell r="M55">
            <v>27</v>
          </cell>
          <cell r="N55">
            <v>0</v>
          </cell>
          <cell r="O55">
            <v>0</v>
          </cell>
          <cell r="P55">
            <v>27</v>
          </cell>
          <cell r="Q55">
            <v>0</v>
          </cell>
          <cell r="S55">
            <v>0</v>
          </cell>
        </row>
        <row r="56">
          <cell r="F56" t="str">
            <v>P.BALAKRISHNAN</v>
          </cell>
          <cell r="J56">
            <v>60000</v>
          </cell>
          <cell r="L56">
            <v>60000</v>
          </cell>
          <cell r="M56">
            <v>27</v>
          </cell>
          <cell r="N56">
            <v>0</v>
          </cell>
          <cell r="O56">
            <v>0</v>
          </cell>
          <cell r="P56">
            <v>27</v>
          </cell>
          <cell r="Q56">
            <v>0</v>
          </cell>
          <cell r="S56">
            <v>0</v>
          </cell>
        </row>
      </sheetData>
      <sheetData sheetId="1">
        <row r="2">
          <cell r="B2">
            <v>10006</v>
          </cell>
          <cell r="C2">
            <v>100328807756</v>
          </cell>
          <cell r="D2">
            <v>0</v>
          </cell>
          <cell r="E2" t="str">
            <v>EPF</v>
          </cell>
          <cell r="F2" t="str">
            <v>SALEEM.D</v>
          </cell>
          <cell r="G2">
            <v>38250</v>
          </cell>
          <cell r="H2">
            <v>46233</v>
          </cell>
          <cell r="I2" t="str">
            <v>21 years,10 months</v>
          </cell>
          <cell r="J2">
            <v>1041</v>
          </cell>
          <cell r="K2">
            <v>70</v>
          </cell>
          <cell r="L2">
            <v>1111</v>
          </cell>
          <cell r="M2">
            <v>23</v>
          </cell>
          <cell r="N2">
            <v>4.5629999999999997</v>
          </cell>
          <cell r="O2">
            <v>4</v>
          </cell>
          <cell r="P2">
            <v>1</v>
          </cell>
          <cell r="Q2">
            <v>0</v>
          </cell>
          <cell r="R2">
            <v>0</v>
          </cell>
          <cell r="S2">
            <v>0</v>
          </cell>
          <cell r="T2">
            <v>28.562999999999999</v>
          </cell>
          <cell r="U2">
            <v>31733</v>
          </cell>
          <cell r="V2">
            <v>31732.937500000004</v>
          </cell>
          <cell r="W2">
            <v>6.2499999996362021E-2</v>
          </cell>
          <cell r="X2">
            <v>10000</v>
          </cell>
          <cell r="Y2">
            <v>3000</v>
          </cell>
          <cell r="Z2">
            <v>1800</v>
          </cell>
          <cell r="AA2">
            <v>0</v>
          </cell>
        </row>
        <row r="3">
          <cell r="B3">
            <v>10005</v>
          </cell>
          <cell r="C3">
            <v>100152884874</v>
          </cell>
          <cell r="E3" t="str">
            <v>EPF</v>
          </cell>
          <cell r="F3" t="str">
            <v>GEROGE EDWARD.F</v>
          </cell>
          <cell r="G3">
            <v>38240</v>
          </cell>
          <cell r="H3">
            <v>46233</v>
          </cell>
          <cell r="I3" t="str">
            <v>21 years,10 months</v>
          </cell>
          <cell r="J3">
            <v>894</v>
          </cell>
          <cell r="K3">
            <v>70</v>
          </cell>
          <cell r="L3">
            <v>964</v>
          </cell>
          <cell r="M3">
            <v>17</v>
          </cell>
          <cell r="N3">
            <v>6.3129999999999997</v>
          </cell>
          <cell r="O3">
            <v>10</v>
          </cell>
          <cell r="P3">
            <v>2</v>
          </cell>
          <cell r="Q3">
            <v>0</v>
          </cell>
          <cell r="R3">
            <v>8</v>
          </cell>
          <cell r="S3">
            <v>0</v>
          </cell>
          <cell r="T3">
            <v>33.313000000000002</v>
          </cell>
          <cell r="U3">
            <v>24402</v>
          </cell>
          <cell r="V3">
            <v>24401.25</v>
          </cell>
          <cell r="W3">
            <v>0.75</v>
          </cell>
          <cell r="Y3">
            <v>1000</v>
          </cell>
          <cell r="Z3">
            <v>1800</v>
          </cell>
          <cell r="AA3">
            <v>0</v>
          </cell>
        </row>
        <row r="4">
          <cell r="B4">
            <v>10002</v>
          </cell>
          <cell r="C4">
            <v>100416874388</v>
          </cell>
          <cell r="E4" t="str">
            <v>EPF</v>
          </cell>
          <cell r="F4" t="str">
            <v>ZAHEER HUSSAIN .D</v>
          </cell>
          <cell r="G4">
            <v>35431</v>
          </cell>
          <cell r="H4">
            <v>46233</v>
          </cell>
          <cell r="I4" t="str">
            <v>29 years,6 months</v>
          </cell>
          <cell r="J4">
            <v>1040</v>
          </cell>
          <cell r="K4">
            <v>70</v>
          </cell>
          <cell r="L4">
            <v>1110</v>
          </cell>
          <cell r="M4">
            <v>22.5</v>
          </cell>
          <cell r="N4">
            <v>3.3130000000000002</v>
          </cell>
          <cell r="O4">
            <v>5.5</v>
          </cell>
          <cell r="P4">
            <v>2</v>
          </cell>
          <cell r="Q4">
            <v>0</v>
          </cell>
          <cell r="R4">
            <v>0</v>
          </cell>
          <cell r="S4">
            <v>0</v>
          </cell>
          <cell r="T4">
            <v>27.812999999999999</v>
          </cell>
          <cell r="U4">
            <v>30872</v>
          </cell>
          <cell r="V4">
            <v>30871.875</v>
          </cell>
          <cell r="W4">
            <v>0.125</v>
          </cell>
          <cell r="X4">
            <v>5000</v>
          </cell>
          <cell r="Y4">
            <v>5000</v>
          </cell>
          <cell r="Z4">
            <v>1800</v>
          </cell>
          <cell r="AA4">
            <v>0</v>
          </cell>
        </row>
        <row r="5">
          <cell r="B5">
            <v>10021</v>
          </cell>
          <cell r="C5">
            <v>100239714004</v>
          </cell>
          <cell r="E5" t="str">
            <v>EPF</v>
          </cell>
          <cell r="F5" t="str">
            <v>MUTHUGANESH BARATHI.N</v>
          </cell>
          <cell r="G5">
            <v>40148</v>
          </cell>
          <cell r="H5">
            <v>46233</v>
          </cell>
          <cell r="I5" t="str">
            <v>16 years,7 months</v>
          </cell>
          <cell r="J5">
            <v>931</v>
          </cell>
          <cell r="K5">
            <v>70</v>
          </cell>
          <cell r="L5">
            <v>1001</v>
          </cell>
          <cell r="M5">
            <v>20</v>
          </cell>
          <cell r="N5">
            <v>8.0630000000000006</v>
          </cell>
          <cell r="O5">
            <v>8</v>
          </cell>
          <cell r="P5">
            <v>2</v>
          </cell>
          <cell r="Q5">
            <v>0</v>
          </cell>
          <cell r="R5">
            <v>6</v>
          </cell>
          <cell r="S5">
            <v>0</v>
          </cell>
          <cell r="T5">
            <v>36.063000000000002</v>
          </cell>
          <cell r="U5">
            <v>30093</v>
          </cell>
          <cell r="V5">
            <v>30092.5625</v>
          </cell>
          <cell r="W5">
            <v>0.4375</v>
          </cell>
          <cell r="Y5">
            <v>1500</v>
          </cell>
          <cell r="Z5">
            <v>1800</v>
          </cell>
          <cell r="AA5">
            <v>0</v>
          </cell>
        </row>
        <row r="6">
          <cell r="B6">
            <v>10026</v>
          </cell>
          <cell r="C6">
            <v>100391296029</v>
          </cell>
          <cell r="E6" t="str">
            <v>EPF</v>
          </cell>
          <cell r="F6" t="str">
            <v>THIRUNAVUKARASU.R</v>
          </cell>
          <cell r="G6">
            <v>41071</v>
          </cell>
          <cell r="H6">
            <v>46233</v>
          </cell>
          <cell r="I6" t="str">
            <v>14 years,1 months</v>
          </cell>
          <cell r="J6">
            <v>1060</v>
          </cell>
          <cell r="K6">
            <v>70</v>
          </cell>
          <cell r="L6">
            <v>1130</v>
          </cell>
          <cell r="M6">
            <v>26</v>
          </cell>
          <cell r="N6">
            <v>6.125</v>
          </cell>
          <cell r="O6">
            <v>3</v>
          </cell>
          <cell r="P6">
            <v>2</v>
          </cell>
          <cell r="Q6">
            <v>0</v>
          </cell>
          <cell r="R6">
            <v>0</v>
          </cell>
          <cell r="S6">
            <v>0</v>
          </cell>
          <cell r="T6">
            <v>34.125</v>
          </cell>
          <cell r="U6">
            <v>38561</v>
          </cell>
          <cell r="V6">
            <v>38561.25</v>
          </cell>
          <cell r="W6">
            <v>-0.25</v>
          </cell>
          <cell r="X6">
            <v>25000</v>
          </cell>
          <cell r="Y6">
            <v>2500</v>
          </cell>
          <cell r="Z6">
            <v>1800</v>
          </cell>
          <cell r="AA6">
            <v>0</v>
          </cell>
        </row>
        <row r="7">
          <cell r="B7">
            <v>10028</v>
          </cell>
          <cell r="C7">
            <v>100335442566</v>
          </cell>
          <cell r="E7" t="str">
            <v>EPF</v>
          </cell>
          <cell r="F7" t="str">
            <v>SANKAR.R</v>
          </cell>
          <cell r="G7">
            <v>41085</v>
          </cell>
          <cell r="H7">
            <v>46233</v>
          </cell>
          <cell r="I7" t="str">
            <v>14 years,1 months</v>
          </cell>
          <cell r="J7">
            <v>1030</v>
          </cell>
          <cell r="K7">
            <v>70</v>
          </cell>
          <cell r="L7">
            <v>1100</v>
          </cell>
          <cell r="M7">
            <v>26</v>
          </cell>
          <cell r="N7">
            <v>9.75</v>
          </cell>
          <cell r="O7">
            <v>1</v>
          </cell>
          <cell r="P7">
            <v>1</v>
          </cell>
          <cell r="Q7">
            <v>0</v>
          </cell>
          <cell r="R7">
            <v>0</v>
          </cell>
          <cell r="S7">
            <v>0</v>
          </cell>
          <cell r="T7">
            <v>36.75</v>
          </cell>
          <cell r="U7">
            <v>40425</v>
          </cell>
          <cell r="V7">
            <v>40425</v>
          </cell>
          <cell r="W7">
            <v>0</v>
          </cell>
          <cell r="Y7">
            <v>2000</v>
          </cell>
          <cell r="Z7">
            <v>1800</v>
          </cell>
          <cell r="AA7">
            <v>0</v>
          </cell>
        </row>
        <row r="8">
          <cell r="B8">
            <v>10027</v>
          </cell>
          <cell r="C8">
            <v>100141663180</v>
          </cell>
          <cell r="D8">
            <v>5605021917</v>
          </cell>
          <cell r="E8" t="str">
            <v>EPF/ESI</v>
          </cell>
          <cell r="F8" t="str">
            <v xml:space="preserve">DURAIMURUGAN.C </v>
          </cell>
          <cell r="G8">
            <v>41085</v>
          </cell>
          <cell r="H8">
            <v>46233</v>
          </cell>
          <cell r="I8" t="str">
            <v>14 years,1 months</v>
          </cell>
          <cell r="J8">
            <v>794</v>
          </cell>
          <cell r="K8">
            <v>70</v>
          </cell>
          <cell r="L8">
            <v>864</v>
          </cell>
          <cell r="M8">
            <v>27</v>
          </cell>
          <cell r="N8">
            <v>10.75</v>
          </cell>
          <cell r="O8">
            <v>2</v>
          </cell>
          <cell r="P8">
            <v>2</v>
          </cell>
          <cell r="Q8">
            <v>0</v>
          </cell>
          <cell r="R8">
            <v>0</v>
          </cell>
          <cell r="S8">
            <v>0</v>
          </cell>
          <cell r="T8">
            <v>39.75</v>
          </cell>
          <cell r="U8">
            <v>34344</v>
          </cell>
          <cell r="V8">
            <v>34344</v>
          </cell>
          <cell r="W8">
            <v>0</v>
          </cell>
          <cell r="Y8">
            <v>1500</v>
          </cell>
          <cell r="Z8">
            <v>1800</v>
          </cell>
          <cell r="AA8">
            <v>0</v>
          </cell>
        </row>
        <row r="9">
          <cell r="B9">
            <v>10031</v>
          </cell>
          <cell r="C9">
            <v>101186527079</v>
          </cell>
          <cell r="D9">
            <v>5606997930</v>
          </cell>
          <cell r="E9" t="str">
            <v>EPF/ESI</v>
          </cell>
          <cell r="F9" t="str">
            <v>ARUN.S</v>
          </cell>
          <cell r="G9">
            <v>41857</v>
          </cell>
          <cell r="H9">
            <v>46233</v>
          </cell>
          <cell r="I9" t="str">
            <v>11 years,11 months</v>
          </cell>
          <cell r="J9">
            <v>693</v>
          </cell>
          <cell r="K9">
            <v>70</v>
          </cell>
          <cell r="L9">
            <v>763</v>
          </cell>
          <cell r="M9">
            <v>23.5</v>
          </cell>
          <cell r="N9">
            <v>14.438000000000001</v>
          </cell>
          <cell r="O9">
            <v>3.5</v>
          </cell>
          <cell r="P9">
            <v>2</v>
          </cell>
          <cell r="Q9">
            <v>0</v>
          </cell>
          <cell r="R9">
            <v>0</v>
          </cell>
          <cell r="S9">
            <v>0</v>
          </cell>
          <cell r="T9">
            <v>39.938000000000002</v>
          </cell>
          <cell r="U9">
            <v>30473</v>
          </cell>
          <cell r="V9">
            <v>30472.312500000004</v>
          </cell>
          <cell r="W9">
            <v>0.68749999999636202</v>
          </cell>
          <cell r="Y9">
            <v>0</v>
          </cell>
          <cell r="Z9">
            <v>1800</v>
          </cell>
          <cell r="AA9">
            <v>220</v>
          </cell>
        </row>
        <row r="10">
          <cell r="B10">
            <v>10032</v>
          </cell>
          <cell r="C10">
            <v>101142682355</v>
          </cell>
          <cell r="D10">
            <v>5606888072</v>
          </cell>
          <cell r="E10" t="str">
            <v>EPF/ESI</v>
          </cell>
          <cell r="F10" t="str">
            <v>SURESH.S</v>
          </cell>
          <cell r="G10">
            <v>42361</v>
          </cell>
          <cell r="H10">
            <v>46233</v>
          </cell>
          <cell r="I10" t="str">
            <v>10 years,7 months</v>
          </cell>
          <cell r="J10">
            <v>685</v>
          </cell>
          <cell r="K10">
            <v>70</v>
          </cell>
          <cell r="L10">
            <v>755</v>
          </cell>
          <cell r="M10">
            <v>28</v>
          </cell>
          <cell r="N10">
            <v>5.5629999999999997</v>
          </cell>
          <cell r="O10">
            <v>3</v>
          </cell>
          <cell r="P10">
            <v>2</v>
          </cell>
          <cell r="Q10">
            <v>0</v>
          </cell>
          <cell r="R10">
            <v>0</v>
          </cell>
          <cell r="S10">
            <v>0</v>
          </cell>
          <cell r="T10">
            <v>35.563000000000002</v>
          </cell>
          <cell r="U10">
            <v>26850</v>
          </cell>
          <cell r="V10">
            <v>26849.6875</v>
          </cell>
          <cell r="W10">
            <v>0.3125</v>
          </cell>
          <cell r="Y10">
            <v>1000</v>
          </cell>
          <cell r="Z10">
            <v>1800</v>
          </cell>
          <cell r="AA10">
            <v>191</v>
          </cell>
        </row>
        <row r="11">
          <cell r="B11">
            <v>10008</v>
          </cell>
          <cell r="C11">
            <v>100075940249</v>
          </cell>
          <cell r="D11">
            <v>0</v>
          </cell>
          <cell r="E11" t="str">
            <v>EPF</v>
          </cell>
          <cell r="F11" t="str">
            <v>K.AJEESH KUMAR</v>
          </cell>
          <cell r="G11">
            <v>39058</v>
          </cell>
          <cell r="H11">
            <v>42149</v>
          </cell>
          <cell r="I11" t="str">
            <v>8 years,5 months</v>
          </cell>
          <cell r="J11">
            <v>871</v>
          </cell>
          <cell r="K11">
            <v>70</v>
          </cell>
          <cell r="L11">
            <v>941</v>
          </cell>
          <cell r="M11">
            <v>25</v>
          </cell>
          <cell r="N11">
            <v>7.625</v>
          </cell>
          <cell r="O11">
            <v>2</v>
          </cell>
          <cell r="P11">
            <v>2</v>
          </cell>
          <cell r="Q11">
            <v>0</v>
          </cell>
          <cell r="R11">
            <v>0</v>
          </cell>
          <cell r="S11">
            <v>0</v>
          </cell>
          <cell r="T11">
            <v>34.625</v>
          </cell>
          <cell r="U11">
            <v>32582</v>
          </cell>
          <cell r="V11">
            <v>32582.125000000004</v>
          </cell>
          <cell r="W11">
            <v>-0.12500000000363798</v>
          </cell>
          <cell r="Y11">
            <v>1500</v>
          </cell>
          <cell r="Z11">
            <v>1800</v>
          </cell>
          <cell r="AA11">
            <v>0</v>
          </cell>
        </row>
        <row r="12">
          <cell r="B12">
            <v>10029</v>
          </cell>
          <cell r="C12">
            <v>100218317236</v>
          </cell>
          <cell r="D12">
            <v>5605022174</v>
          </cell>
          <cell r="E12" t="str">
            <v>EPF/ESI</v>
          </cell>
          <cell r="F12" t="str">
            <v>MANIYARASU</v>
          </cell>
          <cell r="G12">
            <v>41306</v>
          </cell>
          <cell r="H12">
            <v>43046</v>
          </cell>
          <cell r="I12" t="str">
            <v>4 years,9 months</v>
          </cell>
          <cell r="J12">
            <v>685</v>
          </cell>
          <cell r="K12">
            <v>70</v>
          </cell>
          <cell r="L12">
            <v>755</v>
          </cell>
          <cell r="M12">
            <v>23.5</v>
          </cell>
          <cell r="N12">
            <v>5.3129999999999997</v>
          </cell>
          <cell r="O12">
            <v>4.5</v>
          </cell>
          <cell r="P12">
            <v>2</v>
          </cell>
          <cell r="Q12">
            <v>0</v>
          </cell>
          <cell r="R12">
            <v>0</v>
          </cell>
          <cell r="S12">
            <v>0</v>
          </cell>
          <cell r="T12">
            <v>30.812999999999999</v>
          </cell>
          <cell r="U12">
            <v>23264</v>
          </cell>
          <cell r="V12">
            <v>23263.4375</v>
          </cell>
          <cell r="W12">
            <v>0.5625</v>
          </cell>
          <cell r="Y12">
            <v>2000</v>
          </cell>
          <cell r="Z12">
            <v>1800</v>
          </cell>
          <cell r="AA12">
            <v>166</v>
          </cell>
        </row>
        <row r="13">
          <cell r="B13">
            <v>10040</v>
          </cell>
          <cell r="C13">
            <v>101167984373</v>
          </cell>
          <cell r="D13">
            <v>0</v>
          </cell>
          <cell r="E13" t="str">
            <v>EPF/ESI</v>
          </cell>
          <cell r="F13" t="str">
            <v>SANTHOSH KUMAR.V</v>
          </cell>
          <cell r="G13">
            <v>43045</v>
          </cell>
          <cell r="H13">
            <v>46233</v>
          </cell>
          <cell r="I13" t="str">
            <v>8 years,8 months</v>
          </cell>
          <cell r="J13">
            <v>838</v>
          </cell>
          <cell r="K13">
            <v>70</v>
          </cell>
          <cell r="L13">
            <v>908</v>
          </cell>
          <cell r="M13">
            <v>27</v>
          </cell>
          <cell r="N13">
            <v>9.8130000000000006</v>
          </cell>
          <cell r="O13">
            <v>2</v>
          </cell>
          <cell r="P13">
            <v>2</v>
          </cell>
          <cell r="Q13">
            <v>0</v>
          </cell>
          <cell r="R13">
            <v>0</v>
          </cell>
          <cell r="S13">
            <v>0</v>
          </cell>
          <cell r="T13">
            <v>38.813000000000002</v>
          </cell>
          <cell r="U13">
            <v>35242</v>
          </cell>
          <cell r="V13">
            <v>35241.75</v>
          </cell>
          <cell r="W13">
            <v>0.25</v>
          </cell>
          <cell r="Y13">
            <v>0</v>
          </cell>
          <cell r="Z13">
            <v>1800</v>
          </cell>
          <cell r="AA13">
            <v>0</v>
          </cell>
        </row>
        <row r="14">
          <cell r="B14">
            <v>10025</v>
          </cell>
          <cell r="C14">
            <v>100364705074</v>
          </cell>
          <cell r="D14">
            <v>5604500479</v>
          </cell>
          <cell r="E14" t="str">
            <v>EPF/ESI</v>
          </cell>
          <cell r="F14" t="str">
            <v>N.SUBRAMANI</v>
          </cell>
          <cell r="G14">
            <v>40713</v>
          </cell>
          <cell r="H14">
            <v>46233</v>
          </cell>
          <cell r="I14" t="str">
            <v>15 years,1 months</v>
          </cell>
          <cell r="J14">
            <v>743</v>
          </cell>
          <cell r="K14">
            <v>70</v>
          </cell>
          <cell r="L14">
            <v>813</v>
          </cell>
          <cell r="M14">
            <v>4</v>
          </cell>
          <cell r="N14">
            <v>0.81299999999999994</v>
          </cell>
          <cell r="O14">
            <v>23</v>
          </cell>
          <cell r="P14">
            <v>0</v>
          </cell>
          <cell r="Q14">
            <v>0</v>
          </cell>
          <cell r="R14">
            <v>12</v>
          </cell>
          <cell r="S14">
            <v>0</v>
          </cell>
          <cell r="T14">
            <v>16.812999999999999</v>
          </cell>
          <cell r="U14">
            <v>3913</v>
          </cell>
          <cell r="V14">
            <v>3912.5625</v>
          </cell>
          <cell r="W14">
            <v>0.4375</v>
          </cell>
          <cell r="X14">
            <v>5000</v>
          </cell>
          <cell r="Y14">
            <v>1500</v>
          </cell>
          <cell r="Z14">
            <v>391</v>
          </cell>
          <cell r="AA14">
            <v>0</v>
          </cell>
        </row>
        <row r="15">
          <cell r="B15">
            <v>10047</v>
          </cell>
          <cell r="C15">
            <v>101572245900</v>
          </cell>
          <cell r="D15">
            <v>5608568103</v>
          </cell>
          <cell r="E15" t="str">
            <v>EPF/ESI</v>
          </cell>
          <cell r="F15" t="str">
            <v xml:space="preserve">U.SHENBAGASARAVANAN </v>
          </cell>
          <cell r="G15">
            <v>43909</v>
          </cell>
          <cell r="H15">
            <v>46233</v>
          </cell>
          <cell r="I15" t="str">
            <v>6 years,4 months</v>
          </cell>
          <cell r="J15">
            <v>535</v>
          </cell>
          <cell r="K15">
            <v>75</v>
          </cell>
          <cell r="L15">
            <v>610</v>
          </cell>
          <cell r="M15">
            <v>20</v>
          </cell>
          <cell r="N15">
            <v>8.0630000000000006</v>
          </cell>
          <cell r="O15">
            <v>7</v>
          </cell>
          <cell r="P15">
            <v>2</v>
          </cell>
          <cell r="Q15">
            <v>0</v>
          </cell>
          <cell r="R15">
            <v>0</v>
          </cell>
          <cell r="S15">
            <v>0</v>
          </cell>
          <cell r="T15">
            <v>30.063000000000002</v>
          </cell>
          <cell r="U15">
            <v>18338</v>
          </cell>
          <cell r="V15">
            <v>18338.125</v>
          </cell>
          <cell r="W15">
            <v>-0.125</v>
          </cell>
          <cell r="Y15">
            <v>1000</v>
          </cell>
          <cell r="Z15">
            <v>1524</v>
          </cell>
          <cell r="AA15">
            <v>129</v>
          </cell>
        </row>
        <row r="16">
          <cell r="B16">
            <v>10050</v>
          </cell>
          <cell r="C16">
            <v>100707968847</v>
          </cell>
          <cell r="D16">
            <v>0</v>
          </cell>
          <cell r="E16" t="str">
            <v>EPF/ESI</v>
          </cell>
          <cell r="F16" t="str">
            <v>VIJAYAKUMAR</v>
          </cell>
          <cell r="G16">
            <v>44217</v>
          </cell>
          <cell r="H16">
            <v>46233</v>
          </cell>
          <cell r="I16" t="str">
            <v>5 years,6 months</v>
          </cell>
          <cell r="J16">
            <v>848</v>
          </cell>
          <cell r="K16">
            <v>70</v>
          </cell>
          <cell r="L16">
            <v>918</v>
          </cell>
          <cell r="M16">
            <v>28.5</v>
          </cell>
          <cell r="N16">
            <v>11.25</v>
          </cell>
          <cell r="O16">
            <v>0.5</v>
          </cell>
          <cell r="P16">
            <v>0.5</v>
          </cell>
          <cell r="Q16">
            <v>0</v>
          </cell>
          <cell r="R16">
            <v>0</v>
          </cell>
          <cell r="S16">
            <v>0</v>
          </cell>
          <cell r="T16">
            <v>40.25</v>
          </cell>
          <cell r="U16">
            <v>36950</v>
          </cell>
          <cell r="V16">
            <v>36949.5</v>
          </cell>
          <cell r="W16">
            <v>0.5</v>
          </cell>
          <cell r="Y16">
            <v>1000</v>
          </cell>
          <cell r="Z16">
            <v>1800</v>
          </cell>
          <cell r="AA16">
            <v>0</v>
          </cell>
        </row>
        <row r="17">
          <cell r="B17">
            <v>10045</v>
          </cell>
          <cell r="C17">
            <v>101714476720</v>
          </cell>
          <cell r="D17">
            <v>5608923572</v>
          </cell>
          <cell r="E17" t="str">
            <v>EPF/ESI</v>
          </cell>
          <cell r="F17" t="str">
            <v>E.JEGATHEESH</v>
          </cell>
          <cell r="G17">
            <v>43425</v>
          </cell>
          <cell r="H17">
            <v>46233</v>
          </cell>
          <cell r="I17" t="str">
            <v>7 years,8 months</v>
          </cell>
          <cell r="J17">
            <v>593</v>
          </cell>
          <cell r="K17">
            <v>75</v>
          </cell>
          <cell r="L17">
            <v>668</v>
          </cell>
          <cell r="M17">
            <v>25</v>
          </cell>
          <cell r="N17">
            <v>9.5630000000000006</v>
          </cell>
          <cell r="O17">
            <v>2</v>
          </cell>
          <cell r="P17">
            <v>2</v>
          </cell>
          <cell r="Q17">
            <v>0</v>
          </cell>
          <cell r="R17">
            <v>0</v>
          </cell>
          <cell r="S17">
            <v>0</v>
          </cell>
          <cell r="T17">
            <v>36.563000000000002</v>
          </cell>
          <cell r="U17">
            <v>24424</v>
          </cell>
          <cell r="V17">
            <v>24423.75</v>
          </cell>
          <cell r="W17">
            <v>0.25</v>
          </cell>
          <cell r="Y17">
            <v>1500</v>
          </cell>
          <cell r="Z17">
            <v>1800</v>
          </cell>
          <cell r="AA17">
            <v>174</v>
          </cell>
        </row>
        <row r="18">
          <cell r="B18">
            <v>10052</v>
          </cell>
          <cell r="C18">
            <v>101365932977</v>
          </cell>
          <cell r="D18">
            <v>5608923650</v>
          </cell>
          <cell r="E18" t="str">
            <v>EPF/ESI</v>
          </cell>
          <cell r="F18" t="str">
            <v>A.MUTHAMIL SELVAN</v>
          </cell>
          <cell r="G18">
            <v>44256</v>
          </cell>
          <cell r="H18">
            <v>46233</v>
          </cell>
          <cell r="I18" t="str">
            <v>5 years,4 months</v>
          </cell>
          <cell r="J18">
            <v>510</v>
          </cell>
          <cell r="K18">
            <v>50</v>
          </cell>
          <cell r="L18">
            <v>560</v>
          </cell>
          <cell r="M18">
            <v>27</v>
          </cell>
          <cell r="N18">
            <v>9.875</v>
          </cell>
          <cell r="O18">
            <v>2</v>
          </cell>
          <cell r="P18">
            <v>2</v>
          </cell>
          <cell r="Q18">
            <v>0</v>
          </cell>
          <cell r="R18">
            <v>0</v>
          </cell>
          <cell r="S18">
            <v>0</v>
          </cell>
          <cell r="T18">
            <v>38.875</v>
          </cell>
          <cell r="U18">
            <v>21770</v>
          </cell>
          <cell r="V18">
            <v>21770</v>
          </cell>
          <cell r="W18">
            <v>0</v>
          </cell>
          <cell r="Y18">
            <v>1000</v>
          </cell>
          <cell r="Z18">
            <v>1800</v>
          </cell>
          <cell r="AA18">
            <v>154</v>
          </cell>
        </row>
        <row r="19">
          <cell r="B19">
            <v>10053</v>
          </cell>
          <cell r="C19">
            <v>102074864909</v>
          </cell>
          <cell r="D19">
            <v>5610589106</v>
          </cell>
          <cell r="E19" t="str">
            <v>EPF/ESI</v>
          </cell>
          <cell r="F19" t="str">
            <v>ASHOK KUMAR</v>
          </cell>
          <cell r="G19">
            <v>44270</v>
          </cell>
          <cell r="H19">
            <v>46233</v>
          </cell>
          <cell r="I19" t="str">
            <v>5 years,4 months</v>
          </cell>
          <cell r="J19">
            <v>530</v>
          </cell>
          <cell r="K19">
            <v>90</v>
          </cell>
          <cell r="L19">
            <v>620</v>
          </cell>
          <cell r="M19">
            <v>24.5</v>
          </cell>
          <cell r="N19">
            <v>9.5</v>
          </cell>
          <cell r="O19">
            <v>3.5</v>
          </cell>
          <cell r="P19">
            <v>2</v>
          </cell>
          <cell r="Q19">
            <v>0</v>
          </cell>
          <cell r="R19">
            <v>0</v>
          </cell>
          <cell r="S19">
            <v>0</v>
          </cell>
          <cell r="T19">
            <v>36</v>
          </cell>
          <cell r="U19">
            <v>22320</v>
          </cell>
          <cell r="V19">
            <v>22320</v>
          </cell>
          <cell r="W19">
            <v>0</v>
          </cell>
          <cell r="Y19">
            <v>1500</v>
          </cell>
          <cell r="Z19">
            <v>1800</v>
          </cell>
          <cell r="AA19">
            <v>155</v>
          </cell>
        </row>
        <row r="20">
          <cell r="B20">
            <v>10055</v>
          </cell>
          <cell r="C20">
            <v>102048949604</v>
          </cell>
          <cell r="D20">
            <v>5610462716</v>
          </cell>
          <cell r="E20" t="str">
            <v>EPF/ESI</v>
          </cell>
          <cell r="F20" t="str">
            <v>SENTHILKUMAR</v>
          </cell>
          <cell r="G20">
            <v>44317</v>
          </cell>
          <cell r="H20">
            <v>46233</v>
          </cell>
          <cell r="I20" t="str">
            <v>5 years,2 months</v>
          </cell>
          <cell r="J20">
            <v>515</v>
          </cell>
          <cell r="K20">
            <v>90</v>
          </cell>
          <cell r="L20">
            <v>605</v>
          </cell>
          <cell r="M20">
            <v>25</v>
          </cell>
          <cell r="N20">
            <v>6.875</v>
          </cell>
          <cell r="O20">
            <v>3</v>
          </cell>
          <cell r="P20">
            <v>2</v>
          </cell>
          <cell r="Q20">
            <v>0</v>
          </cell>
          <cell r="R20">
            <v>0</v>
          </cell>
          <cell r="S20">
            <v>0</v>
          </cell>
          <cell r="T20">
            <v>33.875</v>
          </cell>
          <cell r="U20">
            <v>20494</v>
          </cell>
          <cell r="V20">
            <v>20494.375</v>
          </cell>
          <cell r="W20">
            <v>-0.375</v>
          </cell>
          <cell r="Y20">
            <v>0</v>
          </cell>
          <cell r="Z20">
            <v>1675</v>
          </cell>
          <cell r="AA20">
            <v>145</v>
          </cell>
        </row>
        <row r="21">
          <cell r="B21">
            <v>10056</v>
          </cell>
          <cell r="C21">
            <v>102048949643</v>
          </cell>
          <cell r="D21">
            <v>5610462706</v>
          </cell>
          <cell r="E21" t="str">
            <v>EPF/ESI</v>
          </cell>
          <cell r="F21" t="str">
            <v xml:space="preserve">SUDALAI </v>
          </cell>
          <cell r="G21">
            <v>44509</v>
          </cell>
          <cell r="H21">
            <v>46233</v>
          </cell>
          <cell r="I21" t="str">
            <v>4 years,8 months</v>
          </cell>
          <cell r="J21">
            <v>480</v>
          </cell>
          <cell r="K21">
            <v>70</v>
          </cell>
          <cell r="L21">
            <v>550</v>
          </cell>
          <cell r="M21">
            <v>26</v>
          </cell>
          <cell r="N21">
            <v>8.375</v>
          </cell>
          <cell r="O21">
            <v>1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  <cell r="T21">
            <v>35.375</v>
          </cell>
          <cell r="U21">
            <v>19456</v>
          </cell>
          <cell r="V21">
            <v>19456.25</v>
          </cell>
          <cell r="W21">
            <v>-0.25</v>
          </cell>
          <cell r="Y21">
            <v>0</v>
          </cell>
          <cell r="Z21">
            <v>1563</v>
          </cell>
          <cell r="AA21">
            <v>137</v>
          </cell>
        </row>
        <row r="22">
          <cell r="B22">
            <v>10066</v>
          </cell>
          <cell r="C22">
            <v>102048949636</v>
          </cell>
          <cell r="D22">
            <v>5610462730</v>
          </cell>
          <cell r="E22" t="str">
            <v>EPF/ESI</v>
          </cell>
          <cell r="F22" t="str">
            <v>M.KAMALESH</v>
          </cell>
          <cell r="G22">
            <v>44973</v>
          </cell>
          <cell r="H22">
            <v>46233</v>
          </cell>
          <cell r="I22" t="str">
            <v>3 years,5 months</v>
          </cell>
          <cell r="J22">
            <v>460</v>
          </cell>
          <cell r="K22">
            <v>90</v>
          </cell>
          <cell r="L22">
            <v>550</v>
          </cell>
          <cell r="M22">
            <v>27</v>
          </cell>
          <cell r="N22">
            <v>11.063000000000001</v>
          </cell>
          <cell r="O22">
            <v>1</v>
          </cell>
          <cell r="P22">
            <v>1</v>
          </cell>
          <cell r="Q22">
            <v>0</v>
          </cell>
          <cell r="R22">
            <v>0</v>
          </cell>
          <cell r="S22">
            <v>0</v>
          </cell>
          <cell r="T22">
            <v>39.063000000000002</v>
          </cell>
          <cell r="U22">
            <v>21485</v>
          </cell>
          <cell r="V22">
            <v>21484.375</v>
          </cell>
          <cell r="W22">
            <v>0.625</v>
          </cell>
          <cell r="Y22">
            <v>1500</v>
          </cell>
          <cell r="Z22">
            <v>1800</v>
          </cell>
          <cell r="AA22">
            <v>151</v>
          </cell>
        </row>
        <row r="23">
          <cell r="B23">
            <v>10095</v>
          </cell>
          <cell r="C23">
            <v>101636327536</v>
          </cell>
          <cell r="D23">
            <v>5608572408</v>
          </cell>
          <cell r="E23" t="str">
            <v>EPF/ESI</v>
          </cell>
          <cell r="F23" t="str">
            <v>S.YUVARAJA</v>
          </cell>
          <cell r="G23">
            <v>43790</v>
          </cell>
          <cell r="H23">
            <v>44957</v>
          </cell>
          <cell r="I23" t="str">
            <v>3 years,2 months</v>
          </cell>
          <cell r="J23">
            <v>510</v>
          </cell>
          <cell r="K23">
            <v>90</v>
          </cell>
          <cell r="L23">
            <v>600</v>
          </cell>
          <cell r="M23">
            <v>26</v>
          </cell>
          <cell r="N23">
            <v>10.875</v>
          </cell>
          <cell r="O23">
            <v>2</v>
          </cell>
          <cell r="P23">
            <v>2</v>
          </cell>
          <cell r="Q23">
            <v>0</v>
          </cell>
          <cell r="R23">
            <v>0</v>
          </cell>
          <cell r="S23">
            <v>0</v>
          </cell>
          <cell r="T23">
            <v>38.875</v>
          </cell>
          <cell r="U23">
            <v>23325</v>
          </cell>
          <cell r="V23">
            <v>23325</v>
          </cell>
          <cell r="W23">
            <v>0</v>
          </cell>
          <cell r="Y23">
            <v>1500</v>
          </cell>
          <cell r="Z23">
            <v>1800</v>
          </cell>
          <cell r="AA23">
            <v>163</v>
          </cell>
        </row>
        <row r="24">
          <cell r="B24">
            <v>10097</v>
          </cell>
          <cell r="C24">
            <v>102202240995</v>
          </cell>
          <cell r="D24">
            <v>5611267148</v>
          </cell>
          <cell r="E24" t="str">
            <v>EPF/ESI</v>
          </cell>
          <cell r="F24" t="str">
            <v>C. MANIKANDAN</v>
          </cell>
          <cell r="G24">
            <v>45253</v>
          </cell>
          <cell r="H24">
            <v>46233</v>
          </cell>
          <cell r="I24" t="str">
            <v>2 years,8 months</v>
          </cell>
          <cell r="J24">
            <v>760</v>
          </cell>
          <cell r="K24">
            <v>70</v>
          </cell>
          <cell r="L24">
            <v>830</v>
          </cell>
          <cell r="M24">
            <v>27</v>
          </cell>
          <cell r="N24">
            <v>11.688000000000001</v>
          </cell>
          <cell r="O24">
            <v>2</v>
          </cell>
          <cell r="P24">
            <v>2</v>
          </cell>
          <cell r="Q24">
            <v>0</v>
          </cell>
          <cell r="R24">
            <v>0</v>
          </cell>
          <cell r="S24">
            <v>0</v>
          </cell>
          <cell r="T24">
            <v>40.688000000000002</v>
          </cell>
          <cell r="U24">
            <v>33771</v>
          </cell>
          <cell r="V24">
            <v>33770.625</v>
          </cell>
          <cell r="W24">
            <v>0.375</v>
          </cell>
          <cell r="Y24">
            <v>0</v>
          </cell>
          <cell r="Z24">
            <v>1800</v>
          </cell>
          <cell r="AA24">
            <v>0</v>
          </cell>
        </row>
        <row r="25">
          <cell r="B25">
            <v>10118</v>
          </cell>
          <cell r="C25">
            <v>101568247566</v>
          </cell>
          <cell r="D25">
            <v>6633748482</v>
          </cell>
          <cell r="E25" t="str">
            <v>EPF/ESI</v>
          </cell>
          <cell r="F25" t="str">
            <v>S ESSAKIMUTHU</v>
          </cell>
          <cell r="G25">
            <v>45483</v>
          </cell>
          <cell r="H25">
            <v>46233</v>
          </cell>
          <cell r="I25" t="str">
            <v>2 years,0 months</v>
          </cell>
          <cell r="J25">
            <v>550</v>
          </cell>
          <cell r="K25">
            <v>70</v>
          </cell>
          <cell r="L25">
            <v>620</v>
          </cell>
          <cell r="M25">
            <v>22.5</v>
          </cell>
          <cell r="N25">
            <v>12.563000000000001</v>
          </cell>
          <cell r="O25">
            <v>5.5</v>
          </cell>
          <cell r="P25">
            <v>2</v>
          </cell>
          <cell r="Q25">
            <v>0</v>
          </cell>
          <cell r="R25">
            <v>0</v>
          </cell>
          <cell r="S25">
            <v>0</v>
          </cell>
          <cell r="T25">
            <v>37.063000000000002</v>
          </cell>
          <cell r="U25">
            <v>22979</v>
          </cell>
          <cell r="V25">
            <v>22978.75</v>
          </cell>
          <cell r="W25">
            <v>0.25</v>
          </cell>
          <cell r="Y25">
            <v>0</v>
          </cell>
          <cell r="Z25">
            <v>1800</v>
          </cell>
          <cell r="AA25">
            <v>162</v>
          </cell>
        </row>
        <row r="26">
          <cell r="B26">
            <v>10009</v>
          </cell>
          <cell r="C26">
            <v>100272000435</v>
          </cell>
          <cell r="D26">
            <v>0</v>
          </cell>
          <cell r="E26" t="str">
            <v>EPF</v>
          </cell>
          <cell r="F26" t="str">
            <v>PIRMANAYAGAM.R</v>
          </cell>
          <cell r="G26">
            <v>39240</v>
          </cell>
          <cell r="H26">
            <v>46233</v>
          </cell>
          <cell r="I26" t="str">
            <v>19 years,1 months</v>
          </cell>
          <cell r="J26">
            <v>907</v>
          </cell>
          <cell r="K26">
            <v>70</v>
          </cell>
          <cell r="L26">
            <v>977</v>
          </cell>
          <cell r="M26">
            <v>25</v>
          </cell>
          <cell r="N26">
            <v>6.1879999999999997</v>
          </cell>
          <cell r="O26">
            <v>2</v>
          </cell>
          <cell r="P26">
            <v>2</v>
          </cell>
          <cell r="Q26">
            <v>0</v>
          </cell>
          <cell r="R26">
            <v>0</v>
          </cell>
          <cell r="S26">
            <v>0</v>
          </cell>
          <cell r="T26">
            <v>33.188000000000002</v>
          </cell>
          <cell r="U26">
            <v>32425</v>
          </cell>
          <cell r="V26">
            <v>32424.187500000007</v>
          </cell>
          <cell r="W26">
            <v>0.81249999999272404</v>
          </cell>
          <cell r="Y26">
            <v>1000</v>
          </cell>
          <cell r="Z26">
            <v>1800</v>
          </cell>
          <cell r="AA26">
            <v>0</v>
          </cell>
        </row>
        <row r="27">
          <cell r="B27">
            <v>10011</v>
          </cell>
          <cell r="C27">
            <v>100163697158</v>
          </cell>
          <cell r="D27">
            <v>0</v>
          </cell>
          <cell r="E27" t="str">
            <v>EPF</v>
          </cell>
          <cell r="F27" t="str">
            <v>HEMA CHANDRA PRABHU.M</v>
          </cell>
          <cell r="G27">
            <v>39240</v>
          </cell>
          <cell r="H27">
            <v>46233</v>
          </cell>
          <cell r="I27" t="str">
            <v>19 years,1 months</v>
          </cell>
          <cell r="J27">
            <v>895</v>
          </cell>
          <cell r="K27">
            <v>70</v>
          </cell>
          <cell r="L27">
            <v>965</v>
          </cell>
          <cell r="M27">
            <v>26.5</v>
          </cell>
          <cell r="N27">
            <v>7.1879999999999997</v>
          </cell>
          <cell r="O27">
            <v>3.5</v>
          </cell>
          <cell r="P27">
            <v>2</v>
          </cell>
          <cell r="Q27">
            <v>0</v>
          </cell>
          <cell r="R27">
            <v>0</v>
          </cell>
          <cell r="S27">
            <v>0</v>
          </cell>
          <cell r="T27">
            <v>35.688000000000002</v>
          </cell>
          <cell r="U27">
            <v>34439</v>
          </cell>
          <cell r="V27">
            <v>34438.4375</v>
          </cell>
          <cell r="W27">
            <v>0.5625</v>
          </cell>
          <cell r="Y27">
            <v>1000</v>
          </cell>
          <cell r="Z27">
            <v>1800</v>
          </cell>
          <cell r="AA27">
            <v>0</v>
          </cell>
        </row>
        <row r="28">
          <cell r="B28">
            <v>10004</v>
          </cell>
          <cell r="C28">
            <v>100357359069</v>
          </cell>
          <cell r="D28">
            <v>0</v>
          </cell>
          <cell r="E28" t="str">
            <v>EPF</v>
          </cell>
          <cell r="F28" t="str">
            <v>SIVA GANAM.S</v>
          </cell>
          <cell r="G28">
            <v>37217</v>
          </cell>
          <cell r="H28">
            <v>46233</v>
          </cell>
          <cell r="I28" t="str">
            <v>24 years,8 months</v>
          </cell>
          <cell r="J28">
            <v>1104</v>
          </cell>
          <cell r="K28">
            <v>70</v>
          </cell>
          <cell r="L28">
            <v>1174</v>
          </cell>
          <cell r="M28">
            <v>24</v>
          </cell>
          <cell r="N28">
            <v>7.5629999999999997</v>
          </cell>
          <cell r="O28">
            <v>4</v>
          </cell>
          <cell r="P28">
            <v>2</v>
          </cell>
          <cell r="Q28">
            <v>0</v>
          </cell>
          <cell r="R28">
            <v>0</v>
          </cell>
          <cell r="S28">
            <v>0</v>
          </cell>
          <cell r="T28">
            <v>33.563000000000002</v>
          </cell>
          <cell r="U28">
            <v>39403</v>
          </cell>
          <cell r="V28">
            <v>39402.375</v>
          </cell>
          <cell r="W28">
            <v>0.625</v>
          </cell>
          <cell r="Y28">
            <v>3000</v>
          </cell>
          <cell r="Z28">
            <v>1800</v>
          </cell>
          <cell r="AA28">
            <v>0</v>
          </cell>
        </row>
        <row r="29">
          <cell r="B29">
            <v>10033</v>
          </cell>
          <cell r="C29">
            <v>101269594810</v>
          </cell>
          <cell r="D29">
            <v>5607299977</v>
          </cell>
          <cell r="E29" t="str">
            <v>EPF/ESI</v>
          </cell>
          <cell r="F29" t="str">
            <v>M.VIGNESH</v>
          </cell>
          <cell r="G29">
            <v>42038</v>
          </cell>
          <cell r="H29">
            <v>42855</v>
          </cell>
          <cell r="I29" t="str">
            <v>2 years,2 months</v>
          </cell>
          <cell r="J29">
            <v>660</v>
          </cell>
          <cell r="K29">
            <v>70</v>
          </cell>
          <cell r="L29">
            <v>730</v>
          </cell>
          <cell r="M29">
            <v>20.5</v>
          </cell>
          <cell r="N29">
            <v>6.5</v>
          </cell>
          <cell r="O29">
            <v>7.5</v>
          </cell>
          <cell r="P29">
            <v>2</v>
          </cell>
          <cell r="Q29">
            <v>0</v>
          </cell>
          <cell r="R29">
            <v>3</v>
          </cell>
          <cell r="S29">
            <v>0</v>
          </cell>
          <cell r="T29">
            <v>32</v>
          </cell>
          <cell r="U29">
            <v>21170</v>
          </cell>
          <cell r="V29">
            <v>21170</v>
          </cell>
          <cell r="W29">
            <v>0</v>
          </cell>
          <cell r="Y29">
            <v>1000</v>
          </cell>
          <cell r="Z29">
            <v>1772</v>
          </cell>
          <cell r="AA29">
            <v>152</v>
          </cell>
        </row>
        <row r="30">
          <cell r="B30">
            <v>10044</v>
          </cell>
          <cell r="C30">
            <v>101125943113</v>
          </cell>
          <cell r="D30">
            <v>5607762164</v>
          </cell>
          <cell r="E30" t="str">
            <v>EPF/ESI</v>
          </cell>
          <cell r="F30" t="str">
            <v>S.GANESH KUMAR</v>
          </cell>
          <cell r="G30">
            <v>43416</v>
          </cell>
          <cell r="H30">
            <v>46233</v>
          </cell>
          <cell r="I30" t="str">
            <v>7 years,8 months</v>
          </cell>
          <cell r="J30">
            <v>655</v>
          </cell>
          <cell r="K30">
            <v>70</v>
          </cell>
          <cell r="L30">
            <v>725</v>
          </cell>
          <cell r="M30">
            <v>23</v>
          </cell>
          <cell r="N30">
            <v>6.25</v>
          </cell>
          <cell r="O30">
            <v>4</v>
          </cell>
          <cell r="P30">
            <v>2</v>
          </cell>
          <cell r="Q30">
            <v>0</v>
          </cell>
          <cell r="R30">
            <v>0</v>
          </cell>
          <cell r="S30">
            <v>0</v>
          </cell>
          <cell r="T30">
            <v>31.25</v>
          </cell>
          <cell r="U30">
            <v>22656</v>
          </cell>
          <cell r="V30">
            <v>22656.25</v>
          </cell>
          <cell r="W30">
            <v>-0.25</v>
          </cell>
          <cell r="Y30">
            <v>5000</v>
          </cell>
          <cell r="Z30">
            <v>1800</v>
          </cell>
          <cell r="AA30">
            <v>162</v>
          </cell>
        </row>
        <row r="31">
          <cell r="B31">
            <v>10020</v>
          </cell>
          <cell r="C31">
            <v>100224356430</v>
          </cell>
          <cell r="D31">
            <v>0</v>
          </cell>
          <cell r="E31" t="str">
            <v>EPF/ESI</v>
          </cell>
          <cell r="F31" t="str">
            <v>L.MAYANDI</v>
          </cell>
          <cell r="G31">
            <v>39995</v>
          </cell>
          <cell r="H31">
            <v>46233</v>
          </cell>
          <cell r="I31" t="str">
            <v>17 years,0 months</v>
          </cell>
          <cell r="J31">
            <v>818</v>
          </cell>
          <cell r="K31">
            <v>70</v>
          </cell>
          <cell r="L31">
            <v>888</v>
          </cell>
          <cell r="M31">
            <v>13</v>
          </cell>
          <cell r="N31">
            <v>4.6879999999999997</v>
          </cell>
          <cell r="O31">
            <v>15</v>
          </cell>
          <cell r="P31">
            <v>2</v>
          </cell>
          <cell r="Q31">
            <v>0</v>
          </cell>
          <cell r="R31">
            <v>7</v>
          </cell>
          <cell r="S31">
            <v>0</v>
          </cell>
          <cell r="T31">
            <v>26.687999999999999</v>
          </cell>
          <cell r="U31">
            <v>17483</v>
          </cell>
          <cell r="V31">
            <v>17482.500000000004</v>
          </cell>
          <cell r="W31">
            <v>0.49999999999636202</v>
          </cell>
          <cell r="Y31">
            <v>0</v>
          </cell>
          <cell r="Z31">
            <v>1800</v>
          </cell>
          <cell r="AA31">
            <v>0</v>
          </cell>
        </row>
        <row r="32">
          <cell r="B32">
            <v>10001</v>
          </cell>
          <cell r="C32">
            <v>100205815691</v>
          </cell>
          <cell r="D32">
            <v>0</v>
          </cell>
          <cell r="E32" t="str">
            <v>EPF</v>
          </cell>
          <cell r="F32" t="str">
            <v>LEO PETER.A</v>
          </cell>
          <cell r="G32">
            <v>34615</v>
          </cell>
          <cell r="H32">
            <v>46233</v>
          </cell>
          <cell r="I32" t="str">
            <v>31 years,9 months</v>
          </cell>
          <cell r="J32">
            <v>1172</v>
          </cell>
          <cell r="K32">
            <v>70</v>
          </cell>
          <cell r="L32">
            <v>1242</v>
          </cell>
          <cell r="M32">
            <v>28</v>
          </cell>
          <cell r="N32">
            <v>5</v>
          </cell>
          <cell r="O32">
            <v>3</v>
          </cell>
          <cell r="P32">
            <v>2</v>
          </cell>
          <cell r="Q32">
            <v>0</v>
          </cell>
          <cell r="R32">
            <v>0</v>
          </cell>
          <cell r="S32">
            <v>0</v>
          </cell>
          <cell r="T32">
            <v>35</v>
          </cell>
          <cell r="U32">
            <v>43470</v>
          </cell>
          <cell r="V32">
            <v>43470</v>
          </cell>
          <cell r="W32">
            <v>0</v>
          </cell>
          <cell r="Y32">
            <v>2000</v>
          </cell>
          <cell r="Z32">
            <v>1800</v>
          </cell>
          <cell r="AA32">
            <v>0</v>
          </cell>
        </row>
        <row r="33">
          <cell r="B33">
            <v>10014</v>
          </cell>
          <cell r="C33">
            <v>100357373185</v>
          </cell>
          <cell r="D33">
            <v>0</v>
          </cell>
          <cell r="E33" t="str">
            <v>EPF</v>
          </cell>
          <cell r="F33" t="str">
            <v>SIVAJI.D</v>
          </cell>
          <cell r="G33">
            <v>39321</v>
          </cell>
          <cell r="H33">
            <v>46233</v>
          </cell>
          <cell r="I33" t="str">
            <v>18 years,11 months</v>
          </cell>
          <cell r="J33">
            <v>977</v>
          </cell>
          <cell r="K33">
            <v>70</v>
          </cell>
          <cell r="L33">
            <v>1047</v>
          </cell>
          <cell r="M33">
            <v>27</v>
          </cell>
          <cell r="N33">
            <v>6.5</v>
          </cell>
          <cell r="O33">
            <v>3</v>
          </cell>
          <cell r="P33">
            <v>2</v>
          </cell>
          <cell r="Q33">
            <v>0</v>
          </cell>
          <cell r="R33">
            <v>0</v>
          </cell>
          <cell r="S33">
            <v>0</v>
          </cell>
          <cell r="T33">
            <v>35.5</v>
          </cell>
          <cell r="U33">
            <v>37169</v>
          </cell>
          <cell r="V33">
            <v>37168.5</v>
          </cell>
          <cell r="W33">
            <v>0.5</v>
          </cell>
          <cell r="Y33">
            <v>1000</v>
          </cell>
          <cell r="Z33">
            <v>1800</v>
          </cell>
          <cell r="AA33">
            <v>0</v>
          </cell>
        </row>
        <row r="34">
          <cell r="B34">
            <v>10017</v>
          </cell>
          <cell r="C34">
            <v>100189159983</v>
          </cell>
          <cell r="D34">
            <v>0</v>
          </cell>
          <cell r="E34" t="str">
            <v>EPF</v>
          </cell>
          <cell r="F34" t="str">
            <v>KANNUSAMY.K</v>
          </cell>
          <cell r="G34">
            <v>39518</v>
          </cell>
          <cell r="H34">
            <v>46233</v>
          </cell>
          <cell r="I34" t="str">
            <v>18 years,4 months</v>
          </cell>
          <cell r="J34">
            <v>904</v>
          </cell>
          <cell r="K34">
            <v>70</v>
          </cell>
          <cell r="L34">
            <v>974</v>
          </cell>
          <cell r="M34">
            <v>28</v>
          </cell>
          <cell r="N34">
            <v>7.25</v>
          </cell>
          <cell r="O34">
            <v>2</v>
          </cell>
          <cell r="P34">
            <v>2</v>
          </cell>
          <cell r="Q34">
            <v>0</v>
          </cell>
          <cell r="R34">
            <v>0</v>
          </cell>
          <cell r="S34">
            <v>0</v>
          </cell>
          <cell r="T34">
            <v>37.25</v>
          </cell>
          <cell r="U34">
            <v>36282</v>
          </cell>
          <cell r="V34">
            <v>36281.5</v>
          </cell>
          <cell r="W34">
            <v>0.5</v>
          </cell>
          <cell r="Y34">
            <v>1500</v>
          </cell>
          <cell r="Z34">
            <v>1800</v>
          </cell>
          <cell r="AA34">
            <v>0</v>
          </cell>
        </row>
        <row r="35">
          <cell r="B35">
            <v>10030</v>
          </cell>
          <cell r="C35">
            <v>100402854742</v>
          </cell>
          <cell r="D35">
            <v>5605022247</v>
          </cell>
          <cell r="E35" t="str">
            <v>EPF/ESI</v>
          </cell>
          <cell r="F35" t="str">
            <v>V.VETRIVELAN</v>
          </cell>
          <cell r="G35">
            <v>41365</v>
          </cell>
          <cell r="H35">
            <v>45260</v>
          </cell>
          <cell r="I35" t="str">
            <v>10 years,7 months</v>
          </cell>
          <cell r="J35">
            <v>670</v>
          </cell>
          <cell r="K35">
            <v>70</v>
          </cell>
          <cell r="L35">
            <v>740</v>
          </cell>
          <cell r="M35">
            <v>27</v>
          </cell>
          <cell r="N35">
            <v>8.125</v>
          </cell>
          <cell r="O35">
            <v>3</v>
          </cell>
          <cell r="P35">
            <v>2</v>
          </cell>
          <cell r="Q35">
            <v>0</v>
          </cell>
          <cell r="R35">
            <v>0</v>
          </cell>
          <cell r="S35">
            <v>0</v>
          </cell>
          <cell r="T35">
            <v>37.125</v>
          </cell>
          <cell r="U35">
            <v>27473</v>
          </cell>
          <cell r="V35">
            <v>27472.5</v>
          </cell>
          <cell r="W35">
            <v>0.5</v>
          </cell>
          <cell r="Y35">
            <v>1500</v>
          </cell>
          <cell r="Z35">
            <v>1800</v>
          </cell>
          <cell r="AA35">
            <v>195</v>
          </cell>
        </row>
        <row r="36">
          <cell r="B36">
            <v>10051</v>
          </cell>
          <cell r="C36">
            <v>102048949627</v>
          </cell>
          <cell r="D36">
            <v>5610462532</v>
          </cell>
          <cell r="E36" t="str">
            <v>EPF/ESI</v>
          </cell>
          <cell r="F36" t="str">
            <v>M.ARIKARASUDHAN</v>
          </cell>
          <cell r="G36">
            <v>44223</v>
          </cell>
          <cell r="H36">
            <v>46233</v>
          </cell>
          <cell r="I36" t="str">
            <v>5 years,6 months</v>
          </cell>
          <cell r="J36">
            <v>550</v>
          </cell>
          <cell r="K36">
            <v>70</v>
          </cell>
          <cell r="L36">
            <v>620</v>
          </cell>
          <cell r="M36">
            <v>29</v>
          </cell>
          <cell r="N36">
            <v>8.0630000000000006</v>
          </cell>
          <cell r="O36">
            <v>1</v>
          </cell>
          <cell r="P36">
            <v>1</v>
          </cell>
          <cell r="Q36">
            <v>0</v>
          </cell>
          <cell r="R36">
            <v>0</v>
          </cell>
          <cell r="S36">
            <v>0</v>
          </cell>
          <cell r="T36">
            <v>38.063000000000002</v>
          </cell>
          <cell r="U36">
            <v>23599</v>
          </cell>
          <cell r="V36">
            <v>23598.75</v>
          </cell>
          <cell r="W36">
            <v>0.25</v>
          </cell>
          <cell r="Y36">
            <v>4000</v>
          </cell>
          <cell r="Z36">
            <v>1800</v>
          </cell>
          <cell r="AA36">
            <v>168</v>
          </cell>
        </row>
        <row r="37">
          <cell r="B37">
            <v>10049</v>
          </cell>
          <cell r="C37">
            <v>101766898594</v>
          </cell>
          <cell r="D37">
            <v>5609904437</v>
          </cell>
          <cell r="E37" t="str">
            <v>EPF/ESI</v>
          </cell>
          <cell r="F37" t="str">
            <v>K.SIVA DASSAN</v>
          </cell>
          <cell r="G37">
            <v>44635</v>
          </cell>
          <cell r="H37">
            <v>46233</v>
          </cell>
          <cell r="I37" t="str">
            <v>4 years,4 months</v>
          </cell>
          <cell r="J37">
            <v>801</v>
          </cell>
          <cell r="K37">
            <v>70</v>
          </cell>
          <cell r="L37">
            <v>871</v>
          </cell>
          <cell r="M37">
            <v>26</v>
          </cell>
          <cell r="N37">
            <v>6.9379999999999997</v>
          </cell>
          <cell r="O37">
            <v>1</v>
          </cell>
          <cell r="P37">
            <v>1</v>
          </cell>
          <cell r="Q37">
            <v>0</v>
          </cell>
          <cell r="R37">
            <v>0</v>
          </cell>
          <cell r="S37">
            <v>0</v>
          </cell>
          <cell r="T37">
            <v>33.938000000000002</v>
          </cell>
          <cell r="U37">
            <v>29560</v>
          </cell>
          <cell r="V37">
            <v>29559.562500000004</v>
          </cell>
          <cell r="W37">
            <v>0.43749999999636202</v>
          </cell>
          <cell r="Y37">
            <v>0</v>
          </cell>
          <cell r="Z37">
            <v>1800</v>
          </cell>
          <cell r="AA37">
            <v>0</v>
          </cell>
        </row>
        <row r="38">
          <cell r="B38">
            <v>10092</v>
          </cell>
          <cell r="C38">
            <v>102202240982</v>
          </cell>
          <cell r="D38">
            <v>5611263656</v>
          </cell>
          <cell r="E38" t="str">
            <v>EPF/ESI</v>
          </cell>
          <cell r="F38" t="str">
            <v>M.CHANDRU</v>
          </cell>
          <cell r="G38">
            <v>45248</v>
          </cell>
          <cell r="H38">
            <v>46233</v>
          </cell>
          <cell r="I38" t="str">
            <v>2 years,8 months</v>
          </cell>
          <cell r="J38">
            <v>440</v>
          </cell>
          <cell r="K38">
            <v>70</v>
          </cell>
          <cell r="L38">
            <v>510</v>
          </cell>
          <cell r="M38">
            <v>26</v>
          </cell>
          <cell r="N38">
            <v>8.0630000000000006</v>
          </cell>
          <cell r="O38">
            <v>2</v>
          </cell>
          <cell r="P38">
            <v>2</v>
          </cell>
          <cell r="Q38">
            <v>0</v>
          </cell>
          <cell r="R38">
            <v>0</v>
          </cell>
          <cell r="S38">
            <v>0</v>
          </cell>
          <cell r="T38">
            <v>36.063000000000002</v>
          </cell>
          <cell r="U38">
            <v>18392</v>
          </cell>
          <cell r="V38">
            <v>18391.875</v>
          </cell>
          <cell r="W38">
            <v>0.125</v>
          </cell>
          <cell r="Y38">
            <v>5000</v>
          </cell>
          <cell r="Z38">
            <v>1518</v>
          </cell>
          <cell r="AA38">
            <v>129</v>
          </cell>
        </row>
        <row r="39">
          <cell r="B39">
            <v>10100</v>
          </cell>
          <cell r="C39">
            <v>100186329515</v>
          </cell>
          <cell r="D39">
            <v>5611269031</v>
          </cell>
          <cell r="E39" t="str">
            <v>EPF/ESI</v>
          </cell>
          <cell r="F39" t="str">
            <v>KALIYAMOORTHY</v>
          </cell>
          <cell r="G39">
            <v>45265</v>
          </cell>
          <cell r="H39">
            <v>46233</v>
          </cell>
          <cell r="I39" t="str">
            <v>2 years,7 months</v>
          </cell>
          <cell r="J39">
            <v>580</v>
          </cell>
          <cell r="K39">
            <v>70</v>
          </cell>
          <cell r="L39">
            <v>650</v>
          </cell>
          <cell r="M39">
            <v>28</v>
          </cell>
          <cell r="N39">
            <v>6.75</v>
          </cell>
          <cell r="O39">
            <v>2</v>
          </cell>
          <cell r="P39">
            <v>2</v>
          </cell>
          <cell r="Q39">
            <v>0</v>
          </cell>
          <cell r="R39">
            <v>0</v>
          </cell>
          <cell r="S39">
            <v>0</v>
          </cell>
          <cell r="T39">
            <v>36.75</v>
          </cell>
          <cell r="U39">
            <v>23888</v>
          </cell>
          <cell r="V39">
            <v>23887.5</v>
          </cell>
          <cell r="W39">
            <v>0.5</v>
          </cell>
          <cell r="X39">
            <v>50000</v>
          </cell>
          <cell r="Y39">
            <v>1000</v>
          </cell>
          <cell r="Z39">
            <v>1800</v>
          </cell>
          <cell r="AA39">
            <v>169</v>
          </cell>
        </row>
        <row r="40">
          <cell r="B40">
            <v>10022</v>
          </cell>
          <cell r="C40">
            <v>100239394104</v>
          </cell>
          <cell r="D40">
            <v>0</v>
          </cell>
          <cell r="E40" t="str">
            <v>EPF</v>
          </cell>
          <cell r="F40" t="str">
            <v>MURUGESAN.S</v>
          </cell>
          <cell r="G40">
            <v>40172</v>
          </cell>
          <cell r="H40">
            <v>46233</v>
          </cell>
          <cell r="I40" t="str">
            <v>16 years,7 months</v>
          </cell>
          <cell r="J40">
            <v>931</v>
          </cell>
          <cell r="K40">
            <v>70</v>
          </cell>
          <cell r="L40">
            <v>1001</v>
          </cell>
          <cell r="M40">
            <v>25</v>
          </cell>
          <cell r="N40">
            <v>6.625</v>
          </cell>
          <cell r="O40">
            <v>2</v>
          </cell>
          <cell r="P40">
            <v>2</v>
          </cell>
          <cell r="Q40">
            <v>0</v>
          </cell>
          <cell r="R40">
            <v>0</v>
          </cell>
          <cell r="S40">
            <v>0</v>
          </cell>
          <cell r="T40">
            <v>33.625</v>
          </cell>
          <cell r="U40">
            <v>33659</v>
          </cell>
          <cell r="V40">
            <v>33658.625</v>
          </cell>
          <cell r="W40">
            <v>0.375</v>
          </cell>
          <cell r="Y40">
            <v>0</v>
          </cell>
          <cell r="Z40">
            <v>1800</v>
          </cell>
          <cell r="AA40">
            <v>0</v>
          </cell>
        </row>
        <row r="41">
          <cell r="B41">
            <v>10038</v>
          </cell>
          <cell r="C41">
            <v>101433802930</v>
          </cell>
          <cell r="D41">
            <v>5607762161</v>
          </cell>
          <cell r="E41" t="str">
            <v>EPF/ESI</v>
          </cell>
          <cell r="F41" t="str">
            <v>MARIYA SELVAM</v>
          </cell>
          <cell r="G41">
            <v>42929</v>
          </cell>
          <cell r="H41">
            <v>43113</v>
          </cell>
          <cell r="I41" t="str">
            <v>0 years,6 months</v>
          </cell>
          <cell r="J41">
            <v>662</v>
          </cell>
          <cell r="K41">
            <v>70</v>
          </cell>
          <cell r="L41">
            <v>732</v>
          </cell>
          <cell r="M41">
            <v>29</v>
          </cell>
          <cell r="N41">
            <v>8.1880000000000006</v>
          </cell>
          <cell r="O41">
            <v>1</v>
          </cell>
          <cell r="P41">
            <v>1</v>
          </cell>
          <cell r="Q41">
            <v>0</v>
          </cell>
          <cell r="R41">
            <v>0</v>
          </cell>
          <cell r="S41">
            <v>0</v>
          </cell>
          <cell r="T41">
            <v>38.188000000000002</v>
          </cell>
          <cell r="U41">
            <v>27954</v>
          </cell>
          <cell r="V41">
            <v>27953.25</v>
          </cell>
          <cell r="W41">
            <v>0.75</v>
          </cell>
          <cell r="Y41">
            <v>1000</v>
          </cell>
          <cell r="Z41">
            <v>1800</v>
          </cell>
          <cell r="AA41">
            <v>195</v>
          </cell>
        </row>
        <row r="42">
          <cell r="B42">
            <v>10106</v>
          </cell>
          <cell r="C42">
            <v>101869220684</v>
          </cell>
          <cell r="D42">
            <v>5611433292</v>
          </cell>
          <cell r="E42" t="str">
            <v>EPF/ESI</v>
          </cell>
          <cell r="F42" t="str">
            <v>M.ABINAS</v>
          </cell>
          <cell r="G42">
            <v>45325</v>
          </cell>
          <cell r="H42">
            <v>46233</v>
          </cell>
          <cell r="I42" t="str">
            <v>2 years,5 months</v>
          </cell>
          <cell r="J42">
            <v>440</v>
          </cell>
          <cell r="K42">
            <v>70</v>
          </cell>
          <cell r="L42">
            <v>510</v>
          </cell>
          <cell r="M42">
            <v>30</v>
          </cell>
          <cell r="N42">
            <v>8.4380000000000006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38.438000000000002</v>
          </cell>
          <cell r="U42">
            <v>19603</v>
          </cell>
          <cell r="V42">
            <v>19603.125</v>
          </cell>
          <cell r="W42">
            <v>-0.125</v>
          </cell>
          <cell r="Y42">
            <v>0</v>
          </cell>
          <cell r="Z42">
            <v>1609</v>
          </cell>
          <cell r="AA42">
            <v>137</v>
          </cell>
        </row>
        <row r="43">
          <cell r="B43">
            <v>10107</v>
          </cell>
          <cell r="C43">
            <v>101869589445</v>
          </cell>
          <cell r="D43">
            <v>5611520137</v>
          </cell>
          <cell r="E43" t="str">
            <v>EPF/ESI</v>
          </cell>
          <cell r="F43" t="str">
            <v>M.SIVA SANKAR</v>
          </cell>
          <cell r="G43">
            <v>45327</v>
          </cell>
          <cell r="H43">
            <v>46233</v>
          </cell>
          <cell r="I43" t="str">
            <v>2 years,5 months</v>
          </cell>
          <cell r="J43">
            <v>440</v>
          </cell>
          <cell r="K43">
            <v>70</v>
          </cell>
          <cell r="L43">
            <v>510</v>
          </cell>
          <cell r="M43">
            <v>26.5</v>
          </cell>
          <cell r="N43">
            <v>8.4380000000000006</v>
          </cell>
          <cell r="O43">
            <v>1.5</v>
          </cell>
          <cell r="P43">
            <v>1.5</v>
          </cell>
          <cell r="Q43">
            <v>0</v>
          </cell>
          <cell r="R43">
            <v>0</v>
          </cell>
          <cell r="S43">
            <v>0</v>
          </cell>
          <cell r="T43">
            <v>36.438000000000002</v>
          </cell>
          <cell r="U43">
            <v>18583</v>
          </cell>
          <cell r="V43">
            <v>18583.125</v>
          </cell>
          <cell r="W43">
            <v>-0.125</v>
          </cell>
          <cell r="Y43">
            <v>500</v>
          </cell>
          <cell r="Z43">
            <v>1528</v>
          </cell>
          <cell r="AA43">
            <v>130</v>
          </cell>
        </row>
        <row r="44">
          <cell r="B44">
            <v>10109</v>
          </cell>
          <cell r="C44">
            <v>101869356678</v>
          </cell>
          <cell r="D44">
            <v>5611433553</v>
          </cell>
          <cell r="E44" t="str">
            <v>EPF/ESI</v>
          </cell>
          <cell r="F44" t="str">
            <v>M.PECHIMUTHU</v>
          </cell>
          <cell r="G44">
            <v>45330</v>
          </cell>
          <cell r="H44">
            <v>46233</v>
          </cell>
          <cell r="I44" t="str">
            <v>2 years,5 months</v>
          </cell>
          <cell r="J44">
            <v>440</v>
          </cell>
          <cell r="K44">
            <v>70</v>
          </cell>
          <cell r="L44">
            <v>510</v>
          </cell>
          <cell r="M44">
            <v>29</v>
          </cell>
          <cell r="N44">
            <v>9.375</v>
          </cell>
          <cell r="O44">
            <v>1</v>
          </cell>
          <cell r="P44">
            <v>1</v>
          </cell>
          <cell r="Q44">
            <v>0</v>
          </cell>
          <cell r="R44">
            <v>0</v>
          </cell>
          <cell r="S44">
            <v>0</v>
          </cell>
          <cell r="T44">
            <v>39.375</v>
          </cell>
          <cell r="U44">
            <v>20081</v>
          </cell>
          <cell r="V44">
            <v>20081.25</v>
          </cell>
          <cell r="W44">
            <v>-0.25</v>
          </cell>
          <cell r="Y44">
            <v>1500</v>
          </cell>
          <cell r="Z44">
            <v>1678</v>
          </cell>
          <cell r="AA44">
            <v>140</v>
          </cell>
        </row>
        <row r="45">
          <cell r="B45">
            <v>10114</v>
          </cell>
          <cell r="C45">
            <v>102250790983</v>
          </cell>
          <cell r="D45">
            <v>5611433187</v>
          </cell>
          <cell r="E45" t="str">
            <v>EPF/ESI</v>
          </cell>
          <cell r="F45" t="str">
            <v>M. SELVAKUMAR</v>
          </cell>
          <cell r="G45">
            <v>45390</v>
          </cell>
          <cell r="H45">
            <v>46233</v>
          </cell>
          <cell r="I45" t="str">
            <v>2 years,3 months</v>
          </cell>
          <cell r="J45">
            <v>425</v>
          </cell>
          <cell r="K45">
            <v>70</v>
          </cell>
          <cell r="L45">
            <v>495</v>
          </cell>
          <cell r="M45">
            <v>29</v>
          </cell>
          <cell r="N45">
            <v>9</v>
          </cell>
          <cell r="O45">
            <v>2</v>
          </cell>
          <cell r="P45">
            <v>2</v>
          </cell>
          <cell r="Q45">
            <v>0</v>
          </cell>
          <cell r="R45">
            <v>0</v>
          </cell>
          <cell r="S45">
            <v>0</v>
          </cell>
          <cell r="T45">
            <v>40</v>
          </cell>
          <cell r="U45">
            <v>19800</v>
          </cell>
          <cell r="V45">
            <v>19800</v>
          </cell>
          <cell r="W45">
            <v>0</v>
          </cell>
          <cell r="Y45">
            <v>1000</v>
          </cell>
          <cell r="Z45">
            <v>1671</v>
          </cell>
          <cell r="AA45">
            <v>137</v>
          </cell>
        </row>
        <row r="46">
          <cell r="B46">
            <v>10015</v>
          </cell>
          <cell r="C46">
            <v>100304382181</v>
          </cell>
          <cell r="D46">
            <v>0</v>
          </cell>
          <cell r="E46" t="str">
            <v>EPF</v>
          </cell>
          <cell r="F46" t="str">
            <v>RAMESH BABU.T</v>
          </cell>
          <cell r="G46">
            <v>39417</v>
          </cell>
          <cell r="H46">
            <v>46233</v>
          </cell>
          <cell r="I46" t="str">
            <v>18 years,7 months</v>
          </cell>
          <cell r="J46">
            <v>1074</v>
          </cell>
          <cell r="K46">
            <v>70</v>
          </cell>
          <cell r="L46">
            <v>1144</v>
          </cell>
          <cell r="M46">
            <v>24</v>
          </cell>
          <cell r="N46">
            <v>8.25</v>
          </cell>
          <cell r="O46">
            <v>3</v>
          </cell>
          <cell r="P46">
            <v>2</v>
          </cell>
          <cell r="Q46">
            <v>0</v>
          </cell>
          <cell r="R46">
            <v>0</v>
          </cell>
          <cell r="S46">
            <v>0</v>
          </cell>
          <cell r="T46">
            <v>34.25</v>
          </cell>
          <cell r="U46">
            <v>39182</v>
          </cell>
          <cell r="V46">
            <v>39182</v>
          </cell>
          <cell r="W46">
            <v>0</v>
          </cell>
          <cell r="Y46">
            <v>2000</v>
          </cell>
          <cell r="Z46">
            <v>1800</v>
          </cell>
          <cell r="AA46">
            <v>0</v>
          </cell>
        </row>
        <row r="47">
          <cell r="B47">
            <v>10016</v>
          </cell>
          <cell r="C47">
            <v>100196782166</v>
          </cell>
          <cell r="D47">
            <v>0</v>
          </cell>
          <cell r="E47" t="str">
            <v>EPF</v>
          </cell>
          <cell r="F47" t="str">
            <v>KRISHNAKUMAR.R</v>
          </cell>
          <cell r="G47">
            <v>39417</v>
          </cell>
          <cell r="H47">
            <v>46233</v>
          </cell>
          <cell r="I47" t="str">
            <v>18 years,7 months</v>
          </cell>
          <cell r="J47">
            <v>890</v>
          </cell>
          <cell r="K47">
            <v>70</v>
          </cell>
          <cell r="L47">
            <v>960</v>
          </cell>
          <cell r="M47">
            <v>24</v>
          </cell>
          <cell r="N47">
            <v>6</v>
          </cell>
          <cell r="O47">
            <v>3</v>
          </cell>
          <cell r="P47">
            <v>2</v>
          </cell>
          <cell r="Q47">
            <v>0</v>
          </cell>
          <cell r="R47">
            <v>0</v>
          </cell>
          <cell r="S47">
            <v>0</v>
          </cell>
          <cell r="T47">
            <v>32</v>
          </cell>
          <cell r="U47">
            <v>30720</v>
          </cell>
          <cell r="V47">
            <v>30720</v>
          </cell>
          <cell r="W47">
            <v>0</v>
          </cell>
          <cell r="Y47">
            <v>1500</v>
          </cell>
          <cell r="Z47">
            <v>1800</v>
          </cell>
          <cell r="AA47">
            <v>0</v>
          </cell>
        </row>
        <row r="48">
          <cell r="B48">
            <v>10012</v>
          </cell>
          <cell r="C48">
            <v>100399072400</v>
          </cell>
          <cell r="D48">
            <v>0</v>
          </cell>
          <cell r="E48" t="str">
            <v>EPF</v>
          </cell>
          <cell r="F48" t="str">
            <v>VADA MALAI.K</v>
          </cell>
          <cell r="G48">
            <v>39243</v>
          </cell>
          <cell r="H48">
            <v>46233</v>
          </cell>
          <cell r="I48" t="str">
            <v>19 years,1 months</v>
          </cell>
          <cell r="J48">
            <v>998</v>
          </cell>
          <cell r="K48">
            <v>70</v>
          </cell>
          <cell r="L48">
            <v>1068</v>
          </cell>
          <cell r="M48">
            <v>22</v>
          </cell>
          <cell r="N48">
            <v>7.875</v>
          </cell>
          <cell r="O48">
            <v>5</v>
          </cell>
          <cell r="P48">
            <v>2</v>
          </cell>
          <cell r="Q48">
            <v>0</v>
          </cell>
          <cell r="R48">
            <v>0</v>
          </cell>
          <cell r="S48">
            <v>0</v>
          </cell>
          <cell r="T48">
            <v>31.875</v>
          </cell>
          <cell r="U48">
            <v>34043</v>
          </cell>
          <cell r="V48">
            <v>34042.5</v>
          </cell>
          <cell r="W48">
            <v>0.5</v>
          </cell>
          <cell r="X48">
            <v>50000</v>
          </cell>
          <cell r="Y48">
            <v>1000</v>
          </cell>
          <cell r="Z48">
            <v>1800</v>
          </cell>
          <cell r="AA48">
            <v>0</v>
          </cell>
        </row>
        <row r="49">
          <cell r="B49">
            <v>10018</v>
          </cell>
          <cell r="C49">
            <v>100405147858</v>
          </cell>
          <cell r="D49">
            <v>5603807120</v>
          </cell>
          <cell r="E49" t="str">
            <v>EPF/ESI</v>
          </cell>
          <cell r="F49" t="str">
            <v>VIJAYAN.K</v>
          </cell>
          <cell r="G49">
            <v>39976</v>
          </cell>
          <cell r="H49">
            <v>46233</v>
          </cell>
          <cell r="I49" t="str">
            <v>17 years,1 months</v>
          </cell>
          <cell r="J49">
            <v>763</v>
          </cell>
          <cell r="K49">
            <v>70</v>
          </cell>
          <cell r="L49">
            <v>833</v>
          </cell>
          <cell r="M49">
            <v>24</v>
          </cell>
          <cell r="N49">
            <v>7.75</v>
          </cell>
          <cell r="O49">
            <v>3</v>
          </cell>
          <cell r="P49">
            <v>2</v>
          </cell>
          <cell r="Q49">
            <v>0</v>
          </cell>
          <cell r="R49">
            <v>0</v>
          </cell>
          <cell r="S49">
            <v>0</v>
          </cell>
          <cell r="T49">
            <v>33.75</v>
          </cell>
          <cell r="U49">
            <v>28114</v>
          </cell>
          <cell r="V49">
            <v>28113.75</v>
          </cell>
          <cell r="W49">
            <v>0.25</v>
          </cell>
          <cell r="Y49">
            <v>1500</v>
          </cell>
          <cell r="Z49">
            <v>1800</v>
          </cell>
          <cell r="AA49">
            <v>0</v>
          </cell>
        </row>
        <row r="50">
          <cell r="B50">
            <v>10013</v>
          </cell>
          <cell r="C50">
            <v>100266009488</v>
          </cell>
          <cell r="D50">
            <v>0</v>
          </cell>
          <cell r="E50" t="str">
            <v>EPF</v>
          </cell>
          <cell r="F50" t="str">
            <v>PANDIAN.P</v>
          </cell>
          <cell r="G50">
            <v>39264</v>
          </cell>
          <cell r="H50">
            <v>46233</v>
          </cell>
          <cell r="I50" t="str">
            <v>19 years,0 months</v>
          </cell>
          <cell r="J50">
            <v>1045</v>
          </cell>
          <cell r="K50">
            <v>70</v>
          </cell>
          <cell r="L50">
            <v>1115</v>
          </cell>
          <cell r="M50">
            <v>24</v>
          </cell>
          <cell r="N50">
            <v>8.5630000000000006</v>
          </cell>
          <cell r="O50">
            <v>3</v>
          </cell>
          <cell r="P50">
            <v>2</v>
          </cell>
          <cell r="Q50">
            <v>0</v>
          </cell>
          <cell r="R50">
            <v>0</v>
          </cell>
          <cell r="S50">
            <v>0</v>
          </cell>
          <cell r="T50">
            <v>34.563000000000002</v>
          </cell>
          <cell r="U50">
            <v>38538</v>
          </cell>
          <cell r="V50">
            <v>38537.1875</v>
          </cell>
          <cell r="W50">
            <v>0.8125</v>
          </cell>
          <cell r="Y50">
            <v>1000</v>
          </cell>
          <cell r="Z50">
            <v>1800</v>
          </cell>
          <cell r="AA50">
            <v>0</v>
          </cell>
        </row>
        <row r="51">
          <cell r="B51">
            <v>10024</v>
          </cell>
          <cell r="C51">
            <v>101142682408</v>
          </cell>
          <cell r="D51">
            <v>0</v>
          </cell>
          <cell r="E51" t="str">
            <v>EPF</v>
          </cell>
          <cell r="F51" t="str">
            <v>NAGARAJ.M</v>
          </cell>
          <cell r="G51">
            <v>40575</v>
          </cell>
          <cell r="H51">
            <v>41319</v>
          </cell>
          <cell r="I51" t="str">
            <v>2 years,0 months</v>
          </cell>
          <cell r="J51">
            <v>907</v>
          </cell>
          <cell r="K51">
            <v>70</v>
          </cell>
          <cell r="L51">
            <v>977</v>
          </cell>
          <cell r="M51">
            <v>22.5</v>
          </cell>
          <cell r="N51">
            <v>7.3129999999999997</v>
          </cell>
          <cell r="O51">
            <v>5</v>
          </cell>
          <cell r="P51">
            <v>2</v>
          </cell>
          <cell r="Q51">
            <v>0</v>
          </cell>
          <cell r="R51">
            <v>0</v>
          </cell>
          <cell r="S51">
            <v>0</v>
          </cell>
          <cell r="T51">
            <v>31.812999999999999</v>
          </cell>
          <cell r="U51">
            <v>31081</v>
          </cell>
          <cell r="V51">
            <v>31080.812499999996</v>
          </cell>
          <cell r="W51">
            <v>0.18750000000363798</v>
          </cell>
          <cell r="Y51">
            <v>1500</v>
          </cell>
          <cell r="Z51">
            <v>1800</v>
          </cell>
          <cell r="AA51">
            <v>0</v>
          </cell>
        </row>
        <row r="52">
          <cell r="B52">
            <v>10039</v>
          </cell>
          <cell r="C52">
            <v>101398725336</v>
          </cell>
          <cell r="D52">
            <v>5607641581</v>
          </cell>
          <cell r="E52" t="str">
            <v>EPF/ESI</v>
          </cell>
          <cell r="F52" t="str">
            <v xml:space="preserve">S.GANESAN    </v>
          </cell>
          <cell r="G52">
            <v>42964</v>
          </cell>
          <cell r="H52">
            <v>46233</v>
          </cell>
          <cell r="I52" t="str">
            <v>8 years,11 months</v>
          </cell>
          <cell r="J52">
            <v>705</v>
          </cell>
          <cell r="K52">
            <v>70</v>
          </cell>
          <cell r="L52">
            <v>775</v>
          </cell>
          <cell r="M52">
            <v>24</v>
          </cell>
          <cell r="N52">
            <v>7.0629999999999997</v>
          </cell>
          <cell r="O52">
            <v>3</v>
          </cell>
          <cell r="P52">
            <v>2</v>
          </cell>
          <cell r="Q52">
            <v>0</v>
          </cell>
          <cell r="R52">
            <v>0</v>
          </cell>
          <cell r="S52">
            <v>0</v>
          </cell>
          <cell r="T52">
            <v>33.063000000000002</v>
          </cell>
          <cell r="U52">
            <v>25624</v>
          </cell>
          <cell r="V52">
            <v>25623.4375</v>
          </cell>
          <cell r="W52">
            <v>0.5625</v>
          </cell>
          <cell r="Y52">
            <v>1500</v>
          </cell>
          <cell r="Z52">
            <v>1800</v>
          </cell>
          <cell r="AA52">
            <v>182</v>
          </cell>
        </row>
        <row r="53">
          <cell r="B53">
            <v>10048</v>
          </cell>
          <cell r="C53">
            <v>101680547998</v>
          </cell>
          <cell r="D53">
            <v>0</v>
          </cell>
          <cell r="E53" t="str">
            <v>EPF</v>
          </cell>
          <cell r="F53" t="str">
            <v>MARTIN SAGAYA RAJ</v>
          </cell>
          <cell r="G53">
            <v>44214</v>
          </cell>
          <cell r="H53">
            <v>46233</v>
          </cell>
          <cell r="I53" t="str">
            <v>5 years,6 months</v>
          </cell>
          <cell r="J53">
            <v>959</v>
          </cell>
          <cell r="K53">
            <v>70</v>
          </cell>
          <cell r="L53">
            <v>1029</v>
          </cell>
          <cell r="M53">
            <v>22</v>
          </cell>
          <cell r="N53">
            <v>8.75</v>
          </cell>
          <cell r="O53">
            <v>5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32.75</v>
          </cell>
          <cell r="U53">
            <v>33700</v>
          </cell>
          <cell r="V53">
            <v>33699.75</v>
          </cell>
          <cell r="W53">
            <v>0.25</v>
          </cell>
          <cell r="Y53">
            <v>3000</v>
          </cell>
          <cell r="Z53">
            <v>1800</v>
          </cell>
          <cell r="AA53">
            <v>0</v>
          </cell>
        </row>
        <row r="54">
          <cell r="B54">
            <v>10035</v>
          </cell>
          <cell r="C54">
            <v>101142682340</v>
          </cell>
          <cell r="D54">
            <v>5606888155</v>
          </cell>
          <cell r="E54" t="str">
            <v>EPF/ESI</v>
          </cell>
          <cell r="F54" t="str">
            <v>M.SIVACHIDHAMBARAM</v>
          </cell>
          <cell r="G54">
            <v>42331</v>
          </cell>
          <cell r="H54">
            <v>43832</v>
          </cell>
          <cell r="I54" t="str">
            <v>4 years,1 months</v>
          </cell>
          <cell r="J54">
            <v>790</v>
          </cell>
          <cell r="K54">
            <v>70</v>
          </cell>
          <cell r="L54">
            <v>860</v>
          </cell>
          <cell r="M54">
            <v>21</v>
          </cell>
          <cell r="N54">
            <v>8.625</v>
          </cell>
          <cell r="O54">
            <v>6</v>
          </cell>
          <cell r="P54">
            <v>2</v>
          </cell>
          <cell r="Q54">
            <v>0</v>
          </cell>
          <cell r="R54">
            <v>0</v>
          </cell>
          <cell r="S54">
            <v>0</v>
          </cell>
          <cell r="T54">
            <v>31.625</v>
          </cell>
          <cell r="U54">
            <v>27198</v>
          </cell>
          <cell r="V54">
            <v>27197.5</v>
          </cell>
          <cell r="W54">
            <v>0.5</v>
          </cell>
          <cell r="Y54">
            <v>1000</v>
          </cell>
          <cell r="Z54">
            <v>1800</v>
          </cell>
          <cell r="AA54">
            <v>0</v>
          </cell>
        </row>
        <row r="55">
          <cell r="B55">
            <v>10034</v>
          </cell>
          <cell r="C55">
            <v>101870321998</v>
          </cell>
          <cell r="D55">
            <v>5609802486</v>
          </cell>
          <cell r="E55" t="str">
            <v>EPF/ESI</v>
          </cell>
          <cell r="F55" t="str">
            <v>THIVAKAR</v>
          </cell>
          <cell r="G55">
            <v>42186</v>
          </cell>
          <cell r="H55">
            <v>43304</v>
          </cell>
          <cell r="I55" t="str">
            <v>3 years,0 months</v>
          </cell>
          <cell r="J55">
            <v>795</v>
          </cell>
          <cell r="K55">
            <v>70</v>
          </cell>
          <cell r="L55">
            <v>865</v>
          </cell>
          <cell r="M55">
            <v>24.5</v>
          </cell>
          <cell r="N55">
            <v>8.75</v>
          </cell>
          <cell r="O55">
            <v>2.5</v>
          </cell>
          <cell r="P55">
            <v>1</v>
          </cell>
          <cell r="Q55">
            <v>0</v>
          </cell>
          <cell r="R55">
            <v>0</v>
          </cell>
          <cell r="S55">
            <v>0</v>
          </cell>
          <cell r="T55">
            <v>34.25</v>
          </cell>
          <cell r="U55">
            <v>29626</v>
          </cell>
          <cell r="V55">
            <v>29626.25</v>
          </cell>
          <cell r="W55">
            <v>-0.25</v>
          </cell>
          <cell r="Y55">
            <v>1000</v>
          </cell>
          <cell r="Z55">
            <v>1800</v>
          </cell>
          <cell r="AA55">
            <v>0</v>
          </cell>
        </row>
        <row r="56">
          <cell r="B56">
            <v>10054</v>
          </cell>
          <cell r="C56">
            <v>101237041626</v>
          </cell>
          <cell r="D56">
            <v>5608861367</v>
          </cell>
          <cell r="E56" t="str">
            <v>EPF/ESI</v>
          </cell>
          <cell r="F56" t="str">
            <v>A.KARTHIKEYAN</v>
          </cell>
          <cell r="G56">
            <v>44293</v>
          </cell>
          <cell r="H56">
            <v>46233</v>
          </cell>
          <cell r="I56" t="str">
            <v>5 years,3 months</v>
          </cell>
          <cell r="J56">
            <v>522</v>
          </cell>
          <cell r="K56">
            <v>50</v>
          </cell>
          <cell r="L56">
            <v>572</v>
          </cell>
          <cell r="M56">
            <v>25</v>
          </cell>
          <cell r="N56">
            <v>7.375</v>
          </cell>
          <cell r="O56">
            <v>2</v>
          </cell>
          <cell r="P56">
            <v>2</v>
          </cell>
          <cell r="Q56">
            <v>0</v>
          </cell>
          <cell r="R56">
            <v>0</v>
          </cell>
          <cell r="S56">
            <v>0</v>
          </cell>
          <cell r="T56">
            <v>34.375</v>
          </cell>
          <cell r="U56">
            <v>19663</v>
          </cell>
          <cell r="V56">
            <v>19662.5</v>
          </cell>
          <cell r="W56">
            <v>0.5</v>
          </cell>
          <cell r="Y56">
            <v>2000</v>
          </cell>
          <cell r="Z56">
            <v>1571</v>
          </cell>
          <cell r="AA56">
            <v>137</v>
          </cell>
        </row>
        <row r="57">
          <cell r="B57">
            <v>10062</v>
          </cell>
          <cell r="C57">
            <v>100286687739</v>
          </cell>
          <cell r="D57">
            <v>0</v>
          </cell>
          <cell r="E57" t="str">
            <v>EPF</v>
          </cell>
          <cell r="F57" t="str">
            <v>ARJUN</v>
          </cell>
          <cell r="G57">
            <v>44881</v>
          </cell>
          <cell r="H57">
            <v>46233</v>
          </cell>
          <cell r="I57" t="str">
            <v>3 years,8 months</v>
          </cell>
          <cell r="J57">
            <v>920</v>
          </cell>
          <cell r="K57">
            <v>70</v>
          </cell>
          <cell r="L57">
            <v>990</v>
          </cell>
          <cell r="M57">
            <v>24</v>
          </cell>
          <cell r="N57">
            <v>8.0630000000000006</v>
          </cell>
          <cell r="O57">
            <v>3</v>
          </cell>
          <cell r="P57">
            <v>2</v>
          </cell>
          <cell r="Q57">
            <v>0</v>
          </cell>
          <cell r="R57">
            <v>0</v>
          </cell>
          <cell r="S57">
            <v>0</v>
          </cell>
          <cell r="T57">
            <v>34.063000000000002</v>
          </cell>
          <cell r="U57">
            <v>33722</v>
          </cell>
          <cell r="V57">
            <v>33721.875</v>
          </cell>
          <cell r="W57">
            <v>0.125</v>
          </cell>
          <cell r="Y57">
            <v>2000</v>
          </cell>
          <cell r="Z57">
            <v>1800</v>
          </cell>
          <cell r="AA57">
            <v>0</v>
          </cell>
        </row>
        <row r="58">
          <cell r="B58">
            <v>10007</v>
          </cell>
          <cell r="C58">
            <v>100145500338</v>
          </cell>
          <cell r="D58">
            <v>0</v>
          </cell>
          <cell r="E58" t="str">
            <v>EPF</v>
          </cell>
          <cell r="F58" t="str">
            <v>ESWARAN.P</v>
          </cell>
          <cell r="G58">
            <v>39052</v>
          </cell>
          <cell r="H58">
            <v>46233</v>
          </cell>
          <cell r="I58" t="str">
            <v>19 years,7 months</v>
          </cell>
          <cell r="J58">
            <v>877</v>
          </cell>
          <cell r="K58">
            <v>60</v>
          </cell>
          <cell r="L58">
            <v>937</v>
          </cell>
          <cell r="M58">
            <v>28</v>
          </cell>
          <cell r="N58">
            <v>7.625</v>
          </cell>
          <cell r="O58">
            <v>1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36.625</v>
          </cell>
          <cell r="U58">
            <v>34318</v>
          </cell>
          <cell r="V58">
            <v>34317.625000000007</v>
          </cell>
          <cell r="W58">
            <v>0.37499999999272404</v>
          </cell>
          <cell r="Y58">
            <v>1000</v>
          </cell>
          <cell r="Z58">
            <v>1800</v>
          </cell>
          <cell r="AA58">
            <v>0</v>
          </cell>
        </row>
        <row r="59">
          <cell r="B59">
            <v>10611</v>
          </cell>
          <cell r="C59">
            <v>102026139037</v>
          </cell>
          <cell r="D59">
            <v>5611433158</v>
          </cell>
          <cell r="E59" t="str">
            <v>EPF/ESI</v>
          </cell>
          <cell r="F59" t="str">
            <v>MANOJ KUMAR</v>
          </cell>
          <cell r="G59">
            <v>45681</v>
          </cell>
          <cell r="H59">
            <v>46203</v>
          </cell>
          <cell r="I59" t="str">
            <v>1 years,5 months</v>
          </cell>
          <cell r="J59">
            <v>750</v>
          </cell>
          <cell r="K59">
            <v>60</v>
          </cell>
          <cell r="L59">
            <v>810</v>
          </cell>
          <cell r="M59">
            <v>31</v>
          </cell>
          <cell r="N59">
            <v>6.9379999999999997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37.938000000000002</v>
          </cell>
          <cell r="U59">
            <v>30730</v>
          </cell>
          <cell r="V59">
            <v>30729.375</v>
          </cell>
          <cell r="W59">
            <v>0.625</v>
          </cell>
          <cell r="Y59">
            <v>2000</v>
          </cell>
          <cell r="Z59">
            <v>1800</v>
          </cell>
          <cell r="AA59">
            <v>0</v>
          </cell>
        </row>
        <row r="60">
          <cell r="B60">
            <v>10613</v>
          </cell>
          <cell r="C60">
            <v>101223622871</v>
          </cell>
          <cell r="D60">
            <v>5610294605</v>
          </cell>
          <cell r="E60" t="str">
            <v>EPF/ESI</v>
          </cell>
          <cell r="F60" t="str">
            <v>PREM KUMAR</v>
          </cell>
          <cell r="G60">
            <v>45334</v>
          </cell>
          <cell r="H60">
            <v>46203</v>
          </cell>
          <cell r="I60" t="str">
            <v>2 years,4 months</v>
          </cell>
          <cell r="J60">
            <v>450</v>
          </cell>
          <cell r="K60">
            <v>60</v>
          </cell>
          <cell r="L60">
            <v>510</v>
          </cell>
          <cell r="M60">
            <v>5</v>
          </cell>
          <cell r="N60">
            <v>1.6879999999999999</v>
          </cell>
          <cell r="O60">
            <v>22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6.6879999999999997</v>
          </cell>
          <cell r="U60">
            <v>3411</v>
          </cell>
          <cell r="V60">
            <v>3410.625</v>
          </cell>
          <cell r="W60">
            <v>0.375</v>
          </cell>
          <cell r="Y60">
            <v>0</v>
          </cell>
          <cell r="Z60">
            <v>348</v>
          </cell>
          <cell r="AA60">
            <v>24</v>
          </cell>
        </row>
        <row r="61">
          <cell r="B61">
            <v>10612</v>
          </cell>
          <cell r="C61" t="str">
            <v>102251810118</v>
          </cell>
          <cell r="D61" t="str">
            <v>5611580187</v>
          </cell>
          <cell r="E61" t="str">
            <v>EPF/ESI</v>
          </cell>
          <cell r="F61" t="str">
            <v>RAMESH</v>
          </cell>
          <cell r="G61">
            <v>45261</v>
          </cell>
          <cell r="H61">
            <v>46203</v>
          </cell>
          <cell r="I61" t="str">
            <v>2 years,6 months</v>
          </cell>
          <cell r="J61">
            <v>660</v>
          </cell>
          <cell r="K61">
            <v>70</v>
          </cell>
          <cell r="L61">
            <v>730</v>
          </cell>
          <cell r="M61">
            <v>24</v>
          </cell>
          <cell r="N61">
            <v>5.3129999999999997</v>
          </cell>
          <cell r="O61">
            <v>6</v>
          </cell>
          <cell r="P61">
            <v>0</v>
          </cell>
          <cell r="Q61">
            <v>0</v>
          </cell>
          <cell r="R61">
            <v>6</v>
          </cell>
          <cell r="S61">
            <v>0</v>
          </cell>
          <cell r="T61">
            <v>35.313000000000002</v>
          </cell>
          <cell r="U61">
            <v>21398</v>
          </cell>
          <cell r="V61">
            <v>21398.125</v>
          </cell>
          <cell r="W61">
            <v>-0.125</v>
          </cell>
          <cell r="Y61">
            <v>2000</v>
          </cell>
          <cell r="Z61">
            <v>1740</v>
          </cell>
          <cell r="AA61">
            <v>153</v>
          </cell>
        </row>
        <row r="62">
          <cell r="B62">
            <v>10619</v>
          </cell>
          <cell r="C62" t="str">
            <v>101881175504</v>
          </cell>
          <cell r="D62" t="str">
            <v>5611610931</v>
          </cell>
          <cell r="E62" t="str">
            <v>EPF/ESI</v>
          </cell>
          <cell r="F62" t="str">
            <v>JOGITH KUMAR</v>
          </cell>
          <cell r="G62">
            <v>45261</v>
          </cell>
          <cell r="H62">
            <v>46203</v>
          </cell>
          <cell r="I62" t="str">
            <v>2 years,6 months</v>
          </cell>
          <cell r="J62">
            <v>660</v>
          </cell>
          <cell r="K62">
            <v>70</v>
          </cell>
          <cell r="L62">
            <v>730</v>
          </cell>
          <cell r="M62">
            <v>26</v>
          </cell>
          <cell r="N62">
            <v>11.813000000000001</v>
          </cell>
          <cell r="O62">
            <v>3</v>
          </cell>
          <cell r="P62">
            <v>2</v>
          </cell>
          <cell r="Q62">
            <v>0</v>
          </cell>
          <cell r="R62">
            <v>0</v>
          </cell>
          <cell r="S62">
            <v>0</v>
          </cell>
          <cell r="T62">
            <v>39.813000000000002</v>
          </cell>
          <cell r="U62">
            <v>29063</v>
          </cell>
          <cell r="V62">
            <v>29063.125</v>
          </cell>
          <cell r="W62">
            <v>-0.125</v>
          </cell>
          <cell r="Y62">
            <v>1500</v>
          </cell>
          <cell r="Z62">
            <v>1800</v>
          </cell>
          <cell r="AA62">
            <v>208</v>
          </cell>
        </row>
        <row r="63">
          <cell r="B63">
            <v>10503</v>
          </cell>
          <cell r="C63">
            <v>100344394001</v>
          </cell>
          <cell r="D63">
            <v>5600620032</v>
          </cell>
          <cell r="E63" t="str">
            <v>EPF/ESI</v>
          </cell>
          <cell r="F63" t="str">
            <v>SENTHAMARAI.J</v>
          </cell>
          <cell r="G63">
            <v>39283</v>
          </cell>
          <cell r="H63">
            <v>46203</v>
          </cell>
          <cell r="I63" t="str">
            <v>18 years,11 months</v>
          </cell>
          <cell r="J63">
            <v>570</v>
          </cell>
          <cell r="K63">
            <v>30</v>
          </cell>
          <cell r="L63">
            <v>600</v>
          </cell>
          <cell r="M63">
            <v>27</v>
          </cell>
          <cell r="N63">
            <v>4</v>
          </cell>
          <cell r="O63">
            <v>2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32</v>
          </cell>
          <cell r="U63">
            <v>19200</v>
          </cell>
          <cell r="V63">
            <v>19200</v>
          </cell>
          <cell r="W63">
            <v>0</v>
          </cell>
          <cell r="X63">
            <v>50000</v>
          </cell>
          <cell r="Y63">
            <v>1000</v>
          </cell>
          <cell r="Z63">
            <v>1800</v>
          </cell>
          <cell r="AA63">
            <v>135</v>
          </cell>
        </row>
        <row r="64">
          <cell r="B64">
            <v>10504</v>
          </cell>
          <cell r="C64">
            <v>100297147011</v>
          </cell>
          <cell r="D64">
            <v>5600620033</v>
          </cell>
          <cell r="E64" t="str">
            <v>EPF/ESI</v>
          </cell>
          <cell r="F64" t="str">
            <v>RAJESHWARI.D</v>
          </cell>
          <cell r="G64">
            <v>39615</v>
          </cell>
          <cell r="H64">
            <v>46203</v>
          </cell>
          <cell r="I64" t="str">
            <v>18 years,0 months</v>
          </cell>
          <cell r="J64">
            <v>575</v>
          </cell>
          <cell r="K64">
            <v>30</v>
          </cell>
          <cell r="L64">
            <v>605</v>
          </cell>
          <cell r="M64">
            <v>27</v>
          </cell>
          <cell r="N64">
            <v>3.9380000000000002</v>
          </cell>
          <cell r="O64">
            <v>2</v>
          </cell>
          <cell r="P64">
            <v>2</v>
          </cell>
          <cell r="Q64">
            <v>0</v>
          </cell>
          <cell r="R64">
            <v>0</v>
          </cell>
          <cell r="S64">
            <v>0</v>
          </cell>
          <cell r="T64">
            <v>32.938000000000002</v>
          </cell>
          <cell r="U64">
            <v>19927</v>
          </cell>
          <cell r="V64">
            <v>19927.1875</v>
          </cell>
          <cell r="W64">
            <v>-0.1875</v>
          </cell>
          <cell r="Y64">
            <v>500</v>
          </cell>
          <cell r="Z64">
            <v>1800</v>
          </cell>
          <cell r="AA64">
            <v>140</v>
          </cell>
        </row>
        <row r="65">
          <cell r="B65">
            <v>10505</v>
          </cell>
          <cell r="C65">
            <v>100272405488</v>
          </cell>
          <cell r="D65">
            <v>5604690598</v>
          </cell>
          <cell r="E65" t="str">
            <v>EPF/ESI</v>
          </cell>
          <cell r="F65" t="str">
            <v>PONNAMMAL.B</v>
          </cell>
          <cell r="G65">
            <v>40205</v>
          </cell>
          <cell r="H65">
            <v>46203</v>
          </cell>
          <cell r="I65" t="str">
            <v>16 years,5 months</v>
          </cell>
          <cell r="J65">
            <v>530</v>
          </cell>
          <cell r="K65">
            <v>30</v>
          </cell>
          <cell r="L65">
            <v>560</v>
          </cell>
          <cell r="M65">
            <v>25</v>
          </cell>
          <cell r="N65">
            <v>0.25</v>
          </cell>
          <cell r="O65">
            <v>2</v>
          </cell>
          <cell r="P65">
            <v>2</v>
          </cell>
          <cell r="Q65">
            <v>0</v>
          </cell>
          <cell r="R65">
            <v>0</v>
          </cell>
          <cell r="S65">
            <v>0</v>
          </cell>
          <cell r="T65">
            <v>27.25</v>
          </cell>
          <cell r="U65">
            <v>15260</v>
          </cell>
          <cell r="V65">
            <v>15260</v>
          </cell>
          <cell r="W65">
            <v>0</v>
          </cell>
          <cell r="Y65">
            <v>0</v>
          </cell>
          <cell r="Z65">
            <v>1495</v>
          </cell>
          <cell r="AA65">
            <v>105</v>
          </cell>
        </row>
        <row r="66">
          <cell r="B66">
            <v>10508</v>
          </cell>
          <cell r="C66">
            <v>101602334402</v>
          </cell>
          <cell r="D66">
            <v>5608455386</v>
          </cell>
          <cell r="E66" t="str">
            <v>EPF/ESI</v>
          </cell>
          <cell r="F66" t="str">
            <v>RADHA.G</v>
          </cell>
          <cell r="G66">
            <v>43434</v>
          </cell>
          <cell r="H66">
            <v>46203</v>
          </cell>
          <cell r="I66" t="str">
            <v>7 years,7 months</v>
          </cell>
          <cell r="J66">
            <v>415</v>
          </cell>
          <cell r="K66">
            <v>30</v>
          </cell>
          <cell r="L66">
            <v>445</v>
          </cell>
          <cell r="M66">
            <v>28</v>
          </cell>
          <cell r="N66">
            <v>5.1879999999999997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33.188000000000002</v>
          </cell>
          <cell r="U66">
            <v>14769</v>
          </cell>
          <cell r="V66">
            <v>14768.4375</v>
          </cell>
          <cell r="W66">
            <v>0.5625</v>
          </cell>
          <cell r="Y66">
            <v>0</v>
          </cell>
          <cell r="Z66">
            <v>1484</v>
          </cell>
          <cell r="AA66">
            <v>101</v>
          </cell>
        </row>
        <row r="67">
          <cell r="B67">
            <v>10507</v>
          </cell>
          <cell r="C67">
            <v>101602334378</v>
          </cell>
          <cell r="D67">
            <v>5608455690</v>
          </cell>
          <cell r="E67" t="str">
            <v>EPF/ESI</v>
          </cell>
          <cell r="F67" t="str">
            <v>MARUTHATHAL</v>
          </cell>
          <cell r="G67">
            <v>42917</v>
          </cell>
          <cell r="H67">
            <v>46203</v>
          </cell>
          <cell r="I67" t="str">
            <v>8 years,11 months</v>
          </cell>
          <cell r="J67">
            <v>410</v>
          </cell>
          <cell r="K67">
            <v>30</v>
          </cell>
          <cell r="L67">
            <v>440</v>
          </cell>
          <cell r="M67">
            <v>22</v>
          </cell>
          <cell r="N67">
            <v>1.0629999999999999</v>
          </cell>
          <cell r="O67">
            <v>5</v>
          </cell>
          <cell r="P67">
            <v>2</v>
          </cell>
          <cell r="Q67">
            <v>0</v>
          </cell>
          <cell r="R67">
            <v>0</v>
          </cell>
          <cell r="S67">
            <v>0</v>
          </cell>
          <cell r="T67">
            <v>25.062999999999999</v>
          </cell>
          <cell r="U67">
            <v>11028</v>
          </cell>
          <cell r="V67">
            <v>11027.5</v>
          </cell>
          <cell r="W67">
            <v>0.5</v>
          </cell>
          <cell r="Y67">
            <v>0</v>
          </cell>
          <cell r="Z67">
            <v>1091</v>
          </cell>
          <cell r="AA67">
            <v>75</v>
          </cell>
        </row>
        <row r="68">
          <cell r="B68">
            <v>10509</v>
          </cell>
          <cell r="C68">
            <v>101572428975</v>
          </cell>
          <cell r="D68">
            <v>5608404049</v>
          </cell>
          <cell r="E68" t="str">
            <v>EPF/ESI</v>
          </cell>
          <cell r="F68" t="str">
            <v>N.JAYA</v>
          </cell>
          <cell r="G68">
            <v>43812</v>
          </cell>
          <cell r="H68">
            <v>46203</v>
          </cell>
          <cell r="I68" t="str">
            <v>6 years,6 months</v>
          </cell>
          <cell r="J68">
            <v>432</v>
          </cell>
          <cell r="K68">
            <v>30</v>
          </cell>
          <cell r="L68">
            <v>462</v>
          </cell>
          <cell r="M68">
            <v>24</v>
          </cell>
          <cell r="N68">
            <v>0.56299999999999994</v>
          </cell>
          <cell r="O68">
            <v>4</v>
          </cell>
          <cell r="P68">
            <v>2</v>
          </cell>
          <cell r="Q68">
            <v>0</v>
          </cell>
          <cell r="R68">
            <v>0</v>
          </cell>
          <cell r="S68">
            <v>0</v>
          </cell>
          <cell r="T68">
            <v>26.562999999999999</v>
          </cell>
          <cell r="U68">
            <v>12272</v>
          </cell>
          <cell r="V68">
            <v>12271.875</v>
          </cell>
          <cell r="W68">
            <v>0.125</v>
          </cell>
          <cell r="Y68">
            <v>500</v>
          </cell>
          <cell r="Z68">
            <v>1219</v>
          </cell>
          <cell r="AA68">
            <v>84</v>
          </cell>
        </row>
        <row r="69">
          <cell r="B69">
            <v>10512</v>
          </cell>
          <cell r="C69">
            <v>102049336719</v>
          </cell>
          <cell r="D69">
            <v>5610462752</v>
          </cell>
          <cell r="E69" t="str">
            <v>EPF/ESI</v>
          </cell>
          <cell r="F69" t="str">
            <v>SATHISH KUMAR</v>
          </cell>
          <cell r="G69">
            <v>44699</v>
          </cell>
          <cell r="H69">
            <v>46203</v>
          </cell>
          <cell r="I69" t="str">
            <v>4 years,1 months</v>
          </cell>
          <cell r="J69">
            <v>625</v>
          </cell>
          <cell r="K69">
            <v>50</v>
          </cell>
          <cell r="L69">
            <v>675</v>
          </cell>
          <cell r="M69">
            <v>8</v>
          </cell>
          <cell r="N69">
            <v>1</v>
          </cell>
          <cell r="O69">
            <v>19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9</v>
          </cell>
          <cell r="U69">
            <v>6075</v>
          </cell>
          <cell r="V69">
            <v>6075</v>
          </cell>
          <cell r="W69">
            <v>0</v>
          </cell>
          <cell r="Y69">
            <v>3000</v>
          </cell>
          <cell r="Z69">
            <v>599</v>
          </cell>
          <cell r="AA69">
            <v>43</v>
          </cell>
        </row>
        <row r="70">
          <cell r="B70">
            <v>10502</v>
          </cell>
          <cell r="C70">
            <v>100239285827</v>
          </cell>
          <cell r="D70">
            <v>0</v>
          </cell>
          <cell r="E70" t="str">
            <v>EPF</v>
          </cell>
          <cell r="F70" t="str">
            <v xml:space="preserve">MURUGAN.G </v>
          </cell>
          <cell r="G70">
            <v>39239</v>
          </cell>
          <cell r="H70">
            <v>46203</v>
          </cell>
          <cell r="I70" t="str">
            <v>19 years,0 months</v>
          </cell>
          <cell r="J70">
            <v>916</v>
          </cell>
          <cell r="K70">
            <v>30</v>
          </cell>
          <cell r="L70">
            <v>946</v>
          </cell>
          <cell r="M70">
            <v>29</v>
          </cell>
          <cell r="N70">
            <v>0</v>
          </cell>
          <cell r="O70">
            <v>0</v>
          </cell>
          <cell r="P70">
            <v>1</v>
          </cell>
          <cell r="Q70">
            <v>0</v>
          </cell>
          <cell r="R70">
            <v>0</v>
          </cell>
          <cell r="S70">
            <v>0</v>
          </cell>
          <cell r="T70">
            <v>30</v>
          </cell>
          <cell r="U70">
            <v>28380</v>
          </cell>
          <cell r="V70">
            <v>28380.000000000004</v>
          </cell>
          <cell r="W70">
            <v>0</v>
          </cell>
          <cell r="Y70">
            <v>500</v>
          </cell>
          <cell r="Z70">
            <v>1800</v>
          </cell>
          <cell r="AA70">
            <v>0</v>
          </cell>
        </row>
        <row r="73">
          <cell r="B73">
            <v>10154</v>
          </cell>
          <cell r="E73" t="str">
            <v>NAPS</v>
          </cell>
          <cell r="F73" t="str">
            <v>E.ESSAKIRAJA</v>
          </cell>
          <cell r="G73">
            <v>45735</v>
          </cell>
          <cell r="H73">
            <v>46233</v>
          </cell>
          <cell r="I73" t="str">
            <v>1 years,4 months</v>
          </cell>
          <cell r="J73">
            <v>425</v>
          </cell>
          <cell r="K73">
            <v>30</v>
          </cell>
          <cell r="L73">
            <v>455</v>
          </cell>
          <cell r="M73">
            <v>25</v>
          </cell>
          <cell r="N73">
            <v>6.875</v>
          </cell>
          <cell r="O73">
            <v>2</v>
          </cell>
          <cell r="P73">
            <v>2</v>
          </cell>
        </row>
        <row r="74">
          <cell r="B74">
            <v>10143</v>
          </cell>
          <cell r="E74" t="str">
            <v>NAPS</v>
          </cell>
          <cell r="F74" t="str">
            <v>N.RAGUL</v>
          </cell>
          <cell r="G74">
            <v>45677</v>
          </cell>
          <cell r="H74">
            <v>46233</v>
          </cell>
          <cell r="I74" t="str">
            <v>1 years,6 months</v>
          </cell>
          <cell r="J74">
            <v>425</v>
          </cell>
          <cell r="K74">
            <v>50</v>
          </cell>
          <cell r="L74">
            <v>475</v>
          </cell>
          <cell r="M74">
            <v>27</v>
          </cell>
          <cell r="N74">
            <v>10</v>
          </cell>
          <cell r="O74">
            <v>1</v>
          </cell>
          <cell r="P74">
            <v>1</v>
          </cell>
        </row>
        <row r="75">
          <cell r="B75">
            <v>10157</v>
          </cell>
          <cell r="E75" t="str">
            <v>NAPS</v>
          </cell>
          <cell r="F75" t="str">
            <v>V.THIRUMOORTHY</v>
          </cell>
          <cell r="G75">
            <v>45710</v>
          </cell>
          <cell r="H75">
            <v>46233</v>
          </cell>
          <cell r="I75" t="str">
            <v>1 years,5 months</v>
          </cell>
          <cell r="J75">
            <v>425</v>
          </cell>
          <cell r="K75">
            <v>50</v>
          </cell>
          <cell r="L75">
            <v>475</v>
          </cell>
          <cell r="M75">
            <v>28.5</v>
          </cell>
          <cell r="N75">
            <v>10.063000000000001</v>
          </cell>
          <cell r="O75">
            <v>0</v>
          </cell>
          <cell r="P75">
            <v>0</v>
          </cell>
        </row>
        <row r="76">
          <cell r="B76">
            <v>10179</v>
          </cell>
          <cell r="E76" t="str">
            <v>NAPS</v>
          </cell>
          <cell r="F76" t="str">
            <v>R.PERUMAL RAJA</v>
          </cell>
          <cell r="G76">
            <v>45965</v>
          </cell>
          <cell r="H76">
            <v>46233</v>
          </cell>
          <cell r="I76" t="str">
            <v>0 years,8 months</v>
          </cell>
          <cell r="J76">
            <v>425</v>
          </cell>
          <cell r="L76">
            <v>425</v>
          </cell>
          <cell r="M76">
            <v>28</v>
          </cell>
          <cell r="N76">
            <v>11.313000000000001</v>
          </cell>
          <cell r="O76">
            <v>0</v>
          </cell>
          <cell r="P76">
            <v>0</v>
          </cell>
        </row>
        <row r="77">
          <cell r="N77">
            <v>90.504000000000005</v>
          </cell>
        </row>
        <row r="84">
          <cell r="B84" t="str">
            <v>Empl. No</v>
          </cell>
          <cell r="C84" t="str">
            <v>UAN No</v>
          </cell>
          <cell r="D84" t="str">
            <v>ESI NO</v>
          </cell>
          <cell r="E84" t="str">
            <v>Roll</v>
          </cell>
          <cell r="F84" t="str">
            <v>Name</v>
          </cell>
          <cell r="G84" t="str">
            <v>Doj</v>
          </cell>
          <cell r="H84" t="str">
            <v xml:space="preserve">As on </v>
          </cell>
          <cell r="I84" t="str">
            <v>Experience</v>
          </cell>
          <cell r="J84" t="str">
            <v>Wages</v>
          </cell>
          <cell r="K84" t="str">
            <v>Inc'25</v>
          </cell>
          <cell r="L84" t="str">
            <v>Total Wages</v>
          </cell>
          <cell r="M84" t="str">
            <v xml:space="preserve">SHIFT </v>
          </cell>
          <cell r="N84" t="str">
            <v>OT</v>
          </cell>
          <cell r="O84" t="str">
            <v>ACTUAL LEAVE</v>
          </cell>
          <cell r="P84" t="str">
            <v xml:space="preserve">EL </v>
          </cell>
        </row>
        <row r="85">
          <cell r="B85">
            <v>10041</v>
          </cell>
          <cell r="F85" t="str">
            <v>JESU BALAN.D</v>
          </cell>
          <cell r="G85">
            <v>43133</v>
          </cell>
          <cell r="H85">
            <v>46233</v>
          </cell>
          <cell r="I85" t="str">
            <v>8 years,5 months</v>
          </cell>
          <cell r="J85">
            <v>846</v>
          </cell>
          <cell r="K85">
            <v>60</v>
          </cell>
          <cell r="L85">
            <v>906</v>
          </cell>
          <cell r="M85">
            <v>26</v>
          </cell>
          <cell r="N85">
            <v>8.1880000000000006</v>
          </cell>
          <cell r="O85">
            <v>1</v>
          </cell>
          <cell r="P85">
            <v>1</v>
          </cell>
        </row>
        <row r="86">
          <cell r="B86">
            <v>10141</v>
          </cell>
          <cell r="F86" t="str">
            <v>A.ARLID</v>
          </cell>
          <cell r="G86">
            <v>45677</v>
          </cell>
          <cell r="H86">
            <v>46233</v>
          </cell>
          <cell r="I86" t="str">
            <v>1 years,6 months</v>
          </cell>
          <cell r="J86">
            <v>425</v>
          </cell>
          <cell r="K86">
            <v>50</v>
          </cell>
          <cell r="L86">
            <v>475</v>
          </cell>
          <cell r="M86">
            <v>26</v>
          </cell>
          <cell r="N86">
            <v>7.5</v>
          </cell>
          <cell r="O86">
            <v>4</v>
          </cell>
          <cell r="P86">
            <v>2</v>
          </cell>
        </row>
        <row r="87">
          <cell r="B87">
            <v>10158</v>
          </cell>
          <cell r="F87" t="str">
            <v>S.KARTHIKEYAN</v>
          </cell>
          <cell r="G87">
            <v>45722</v>
          </cell>
          <cell r="H87">
            <v>46233</v>
          </cell>
          <cell r="I87" t="str">
            <v>1 years,4 months</v>
          </cell>
          <cell r="J87">
            <v>425</v>
          </cell>
          <cell r="K87">
            <v>50</v>
          </cell>
          <cell r="L87">
            <v>475</v>
          </cell>
          <cell r="M87">
            <v>30.5</v>
          </cell>
          <cell r="N87">
            <v>9.5630000000000006</v>
          </cell>
          <cell r="O87">
            <v>0.5</v>
          </cell>
          <cell r="P87">
            <v>0.5</v>
          </cell>
        </row>
        <row r="88">
          <cell r="B88">
            <v>10164</v>
          </cell>
          <cell r="F88" t="str">
            <v>N.POOSAIDURAI</v>
          </cell>
          <cell r="G88">
            <v>45710</v>
          </cell>
          <cell r="H88">
            <v>46233</v>
          </cell>
          <cell r="I88" t="str">
            <v>1 years,5 months</v>
          </cell>
          <cell r="J88">
            <v>425</v>
          </cell>
          <cell r="K88">
            <v>50</v>
          </cell>
          <cell r="L88">
            <v>475</v>
          </cell>
          <cell r="M88">
            <v>26</v>
          </cell>
          <cell r="N88">
            <v>6.9379999999999997</v>
          </cell>
          <cell r="O88">
            <v>1</v>
          </cell>
          <cell r="P88">
            <v>1</v>
          </cell>
        </row>
        <row r="89">
          <cell r="B89">
            <v>10177</v>
          </cell>
          <cell r="F89" t="str">
            <v>S.SARAN</v>
          </cell>
          <cell r="G89">
            <v>45958</v>
          </cell>
          <cell r="H89">
            <v>46233</v>
          </cell>
          <cell r="I89" t="str">
            <v>0 years,9 months</v>
          </cell>
          <cell r="J89">
            <v>425</v>
          </cell>
          <cell r="L89">
            <v>425</v>
          </cell>
          <cell r="M89">
            <v>28</v>
          </cell>
          <cell r="N89">
            <v>9.125</v>
          </cell>
          <cell r="O89">
            <v>0</v>
          </cell>
          <cell r="P89">
            <v>0</v>
          </cell>
        </row>
        <row r="90">
          <cell r="B90">
            <v>10185</v>
          </cell>
          <cell r="F90" t="str">
            <v>M.HARIHARASUDHAN</v>
          </cell>
          <cell r="G90">
            <v>45997</v>
          </cell>
          <cell r="H90">
            <v>46233</v>
          </cell>
          <cell r="I90" t="str">
            <v>0 years,7 months</v>
          </cell>
          <cell r="J90">
            <v>425</v>
          </cell>
          <cell r="L90">
            <v>425</v>
          </cell>
          <cell r="M90">
            <v>16.5</v>
          </cell>
          <cell r="N90">
            <v>3.875</v>
          </cell>
          <cell r="O90">
            <v>10.5</v>
          </cell>
          <cell r="P90">
            <v>0</v>
          </cell>
        </row>
        <row r="91">
          <cell r="B91">
            <v>10194</v>
          </cell>
          <cell r="F91" t="str">
            <v>M.MATHAN KUMAR</v>
          </cell>
          <cell r="G91">
            <v>46084</v>
          </cell>
          <cell r="H91">
            <v>46233</v>
          </cell>
          <cell r="I91" t="str">
            <v>0 years,4 months</v>
          </cell>
          <cell r="J91">
            <v>425</v>
          </cell>
          <cell r="L91">
            <v>425</v>
          </cell>
          <cell r="M91">
            <v>7</v>
          </cell>
          <cell r="N91">
            <v>2.1880000000000002</v>
          </cell>
          <cell r="O91">
            <v>20</v>
          </cell>
          <cell r="P91">
            <v>0</v>
          </cell>
        </row>
        <row r="92">
          <cell r="B92">
            <v>10196</v>
          </cell>
          <cell r="F92" t="str">
            <v>M.ESAKKI RAJA</v>
          </cell>
          <cell r="G92">
            <v>46092</v>
          </cell>
          <cell r="H92">
            <v>46233</v>
          </cell>
          <cell r="I92" t="str">
            <v>0 years,4 months</v>
          </cell>
          <cell r="J92">
            <v>475</v>
          </cell>
          <cell r="K92">
            <v>50</v>
          </cell>
          <cell r="L92">
            <v>525</v>
          </cell>
          <cell r="M92">
            <v>25</v>
          </cell>
          <cell r="N92">
            <v>9.0630000000000006</v>
          </cell>
          <cell r="O92">
            <v>3</v>
          </cell>
          <cell r="P92">
            <v>0</v>
          </cell>
        </row>
        <row r="93">
          <cell r="B93">
            <v>10202</v>
          </cell>
          <cell r="F93" t="str">
            <v>R.RAGUL</v>
          </cell>
          <cell r="G93">
            <v>46156</v>
          </cell>
          <cell r="H93">
            <v>46233</v>
          </cell>
          <cell r="I93" t="str">
            <v>0 years,2 months</v>
          </cell>
          <cell r="L93">
            <v>425</v>
          </cell>
          <cell r="M93">
            <v>27</v>
          </cell>
          <cell r="N93">
            <v>7</v>
          </cell>
          <cell r="O93">
            <v>0</v>
          </cell>
          <cell r="P93">
            <v>0</v>
          </cell>
        </row>
        <row r="94">
          <cell r="B94">
            <v>10203</v>
          </cell>
          <cell r="F94" t="str">
            <v>R.PERIYASAMY</v>
          </cell>
          <cell r="G94">
            <v>46156</v>
          </cell>
          <cell r="H94">
            <v>46233</v>
          </cell>
          <cell r="I94" t="str">
            <v>0 years,2 months</v>
          </cell>
          <cell r="L94">
            <v>425</v>
          </cell>
          <cell r="M94">
            <v>22</v>
          </cell>
          <cell r="N94">
            <v>7.1879999999999997</v>
          </cell>
          <cell r="O94">
            <v>5</v>
          </cell>
          <cell r="P94">
            <v>0</v>
          </cell>
        </row>
        <row r="95">
          <cell r="B95">
            <v>10204</v>
          </cell>
          <cell r="F95" t="str">
            <v>M.THANGA KARTHIK</v>
          </cell>
          <cell r="G95">
            <v>46182</v>
          </cell>
          <cell r="H95">
            <v>46233</v>
          </cell>
          <cell r="I95" t="str">
            <v>0 years,1 months</v>
          </cell>
          <cell r="J95">
            <v>425</v>
          </cell>
          <cell r="L95">
            <v>425</v>
          </cell>
          <cell r="M95">
            <v>19</v>
          </cell>
          <cell r="N95">
            <v>7.3129999999999997</v>
          </cell>
          <cell r="O95">
            <v>8</v>
          </cell>
          <cell r="P95">
            <v>0</v>
          </cell>
        </row>
        <row r="96">
          <cell r="B96">
            <v>10205</v>
          </cell>
          <cell r="F96" t="str">
            <v>ARUNACHALAM</v>
          </cell>
          <cell r="G96">
            <v>46182</v>
          </cell>
          <cell r="H96">
            <v>46233</v>
          </cell>
          <cell r="I96" t="str">
            <v>0 years,1 months</v>
          </cell>
          <cell r="J96">
            <v>425</v>
          </cell>
          <cell r="L96">
            <v>425</v>
          </cell>
          <cell r="M96">
            <v>19</v>
          </cell>
          <cell r="N96">
            <v>4.4379999999999997</v>
          </cell>
          <cell r="O96">
            <v>9</v>
          </cell>
          <cell r="P96">
            <v>0</v>
          </cell>
        </row>
        <row r="97">
          <cell r="B97">
            <v>10206</v>
          </cell>
          <cell r="F97" t="str">
            <v>S.VEERAMANI</v>
          </cell>
          <cell r="G97">
            <v>46182</v>
          </cell>
          <cell r="H97">
            <v>46233</v>
          </cell>
          <cell r="I97" t="str">
            <v>0 years,1 months</v>
          </cell>
          <cell r="J97">
            <v>425</v>
          </cell>
          <cell r="L97">
            <v>425</v>
          </cell>
          <cell r="M97">
            <v>28</v>
          </cell>
          <cell r="N97">
            <v>10.75</v>
          </cell>
          <cell r="O97">
            <v>0</v>
          </cell>
          <cell r="P97">
            <v>0</v>
          </cell>
        </row>
        <row r="98">
          <cell r="B98">
            <v>10207</v>
          </cell>
          <cell r="F98" t="str">
            <v>M.PECHIMUTHU</v>
          </cell>
          <cell r="G98">
            <v>46184</v>
          </cell>
          <cell r="H98">
            <v>46233</v>
          </cell>
          <cell r="I98" t="str">
            <v>0 years,1 months</v>
          </cell>
          <cell r="J98">
            <v>425</v>
          </cell>
          <cell r="L98">
            <v>425</v>
          </cell>
          <cell r="M98">
            <v>5</v>
          </cell>
          <cell r="N98">
            <v>2.6880000000000002</v>
          </cell>
          <cell r="O98">
            <v>22</v>
          </cell>
          <cell r="P98">
            <v>0</v>
          </cell>
        </row>
        <row r="99">
          <cell r="B99">
            <v>10614</v>
          </cell>
          <cell r="F99" t="str">
            <v>SHIVA KUMAR</v>
          </cell>
          <cell r="G99">
            <v>45341</v>
          </cell>
          <cell r="H99">
            <v>46203</v>
          </cell>
          <cell r="I99" t="str">
            <v>2 years,4 months</v>
          </cell>
          <cell r="J99">
            <v>450</v>
          </cell>
          <cell r="K99">
            <v>60</v>
          </cell>
          <cell r="L99">
            <v>510</v>
          </cell>
          <cell r="M99">
            <v>31</v>
          </cell>
          <cell r="N99">
            <v>7.25</v>
          </cell>
          <cell r="O99">
            <v>0</v>
          </cell>
          <cell r="P99">
            <v>0</v>
          </cell>
        </row>
        <row r="100">
          <cell r="B100">
            <v>10615</v>
          </cell>
          <cell r="F100" t="str">
            <v>SUSIL PASWAN</v>
          </cell>
          <cell r="G100">
            <v>45859</v>
          </cell>
          <cell r="H100">
            <v>46203</v>
          </cell>
          <cell r="I100" t="str">
            <v>0 years,11 months</v>
          </cell>
          <cell r="J100">
            <v>450</v>
          </cell>
          <cell r="K100">
            <v>50</v>
          </cell>
          <cell r="L100">
            <v>500</v>
          </cell>
          <cell r="M100">
            <v>28</v>
          </cell>
          <cell r="N100">
            <v>8</v>
          </cell>
          <cell r="O100">
            <v>2</v>
          </cell>
          <cell r="P100">
            <v>0</v>
          </cell>
        </row>
        <row r="101">
          <cell r="B101">
            <v>10617</v>
          </cell>
          <cell r="F101" t="str">
            <v>JAVED ANSARI</v>
          </cell>
          <cell r="G101">
            <v>45496</v>
          </cell>
          <cell r="H101">
            <v>46203</v>
          </cell>
          <cell r="I101" t="str">
            <v>1 years,11 months</v>
          </cell>
          <cell r="J101">
            <v>800</v>
          </cell>
          <cell r="K101">
            <v>60</v>
          </cell>
          <cell r="L101">
            <v>860</v>
          </cell>
          <cell r="M101">
            <v>25</v>
          </cell>
          <cell r="N101">
            <v>7.5629999999999997</v>
          </cell>
          <cell r="O101">
            <v>3</v>
          </cell>
          <cell r="P101">
            <v>0</v>
          </cell>
        </row>
        <row r="102">
          <cell r="B102">
            <v>10618</v>
          </cell>
          <cell r="F102" t="str">
            <v>RAJUKUMAR</v>
          </cell>
          <cell r="G102">
            <v>45328</v>
          </cell>
          <cell r="H102">
            <v>46203</v>
          </cell>
          <cell r="I102" t="str">
            <v>2 years,4 months</v>
          </cell>
          <cell r="J102">
            <v>675</v>
          </cell>
          <cell r="K102">
            <v>0</v>
          </cell>
          <cell r="L102">
            <v>675</v>
          </cell>
          <cell r="M102">
            <v>26</v>
          </cell>
          <cell r="N102">
            <v>7.8129999999999997</v>
          </cell>
          <cell r="O102">
            <v>1</v>
          </cell>
          <cell r="P102">
            <v>0</v>
          </cell>
        </row>
        <row r="103">
          <cell r="B103">
            <v>10623</v>
          </cell>
          <cell r="F103" t="str">
            <v>RAJESH DAS</v>
          </cell>
          <cell r="G103">
            <v>45955</v>
          </cell>
          <cell r="H103">
            <v>46203</v>
          </cell>
          <cell r="I103" t="str">
            <v>0 years,8 months</v>
          </cell>
          <cell r="J103">
            <v>600</v>
          </cell>
          <cell r="L103">
            <v>600</v>
          </cell>
          <cell r="M103">
            <v>29.5</v>
          </cell>
          <cell r="N103">
            <v>6.875</v>
          </cell>
          <cell r="O103">
            <v>1.5</v>
          </cell>
          <cell r="P103">
            <v>0</v>
          </cell>
        </row>
        <row r="104">
          <cell r="B104">
            <v>10624</v>
          </cell>
          <cell r="F104" t="str">
            <v>SUNNY KUMAR</v>
          </cell>
          <cell r="G104">
            <v>46189</v>
          </cell>
          <cell r="H104">
            <v>46203</v>
          </cell>
          <cell r="I104" t="str">
            <v>0 years,0 months</v>
          </cell>
          <cell r="J104">
            <v>450</v>
          </cell>
          <cell r="K104">
            <v>0</v>
          </cell>
          <cell r="L104">
            <v>450</v>
          </cell>
          <cell r="M104">
            <v>29</v>
          </cell>
          <cell r="N104">
            <v>7.75</v>
          </cell>
          <cell r="O104">
            <v>0</v>
          </cell>
          <cell r="P104">
            <v>0</v>
          </cell>
        </row>
        <row r="105">
          <cell r="B105">
            <v>10626</v>
          </cell>
          <cell r="F105" t="str">
            <v>R.NAUSHAD ANSARI</v>
          </cell>
          <cell r="G105">
            <v>46219</v>
          </cell>
          <cell r="H105">
            <v>46234</v>
          </cell>
          <cell r="I105" t="str">
            <v>0 years,0 months</v>
          </cell>
          <cell r="J105">
            <v>450</v>
          </cell>
          <cell r="K105">
            <v>0</v>
          </cell>
          <cell r="L105">
            <v>450</v>
          </cell>
          <cell r="M105">
            <v>4</v>
          </cell>
          <cell r="N105">
            <v>1.0629999999999999</v>
          </cell>
          <cell r="O105">
            <v>0</v>
          </cell>
          <cell r="P105">
            <v>0</v>
          </cell>
        </row>
        <row r="106">
          <cell r="B106">
            <v>10501</v>
          </cell>
          <cell r="F106" t="str">
            <v>NACHIMUTHU.A</v>
          </cell>
          <cell r="G106">
            <v>38729</v>
          </cell>
          <cell r="H106">
            <v>46203</v>
          </cell>
          <cell r="I106" t="str">
            <v>20 years,5 months</v>
          </cell>
          <cell r="J106">
            <v>13500</v>
          </cell>
          <cell r="K106">
            <v>500</v>
          </cell>
          <cell r="L106">
            <v>14000</v>
          </cell>
          <cell r="M106">
            <v>31</v>
          </cell>
          <cell r="N106">
            <v>0</v>
          </cell>
          <cell r="O106">
            <v>0</v>
          </cell>
          <cell r="P106">
            <v>0</v>
          </cell>
        </row>
        <row r="107">
          <cell r="B107">
            <v>10000</v>
          </cell>
          <cell r="F107" t="str">
            <v>C.ANDAVAN</v>
          </cell>
          <cell r="G107">
            <v>45378</v>
          </cell>
          <cell r="H107">
            <v>46203</v>
          </cell>
          <cell r="I107" t="str">
            <v>2 years,3 months</v>
          </cell>
          <cell r="J107">
            <v>500</v>
          </cell>
          <cell r="K107">
            <v>40</v>
          </cell>
          <cell r="L107">
            <v>540</v>
          </cell>
          <cell r="M107">
            <v>22</v>
          </cell>
          <cell r="N107">
            <v>0</v>
          </cell>
          <cell r="O107">
            <v>5</v>
          </cell>
          <cell r="P107">
            <v>0</v>
          </cell>
        </row>
        <row r="108">
          <cell r="B108">
            <v>10001</v>
          </cell>
          <cell r="F108" t="str">
            <v>NAGARAJ</v>
          </cell>
          <cell r="G108">
            <v>45453</v>
          </cell>
          <cell r="H108">
            <v>46203</v>
          </cell>
          <cell r="I108" t="str">
            <v>2 years,0 months</v>
          </cell>
          <cell r="J108">
            <v>600</v>
          </cell>
          <cell r="K108">
            <v>40</v>
          </cell>
          <cell r="L108">
            <v>640</v>
          </cell>
          <cell r="M108">
            <v>23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10506</v>
          </cell>
          <cell r="F109" t="str">
            <v>VASANTHAMANI</v>
          </cell>
          <cell r="G109">
            <v>42738</v>
          </cell>
          <cell r="H109">
            <v>46203</v>
          </cell>
          <cell r="I109" t="str">
            <v>9 years,5 months</v>
          </cell>
          <cell r="J109">
            <v>460</v>
          </cell>
          <cell r="K109">
            <v>30</v>
          </cell>
          <cell r="L109">
            <v>490</v>
          </cell>
          <cell r="M109">
            <v>7</v>
          </cell>
          <cell r="N109">
            <v>0</v>
          </cell>
          <cell r="O109">
            <v>20</v>
          </cell>
          <cell r="P109">
            <v>2</v>
          </cell>
        </row>
        <row r="110">
          <cell r="B110">
            <v>10511</v>
          </cell>
          <cell r="F110" t="str">
            <v>S.LAKSHMI</v>
          </cell>
          <cell r="G110">
            <v>44585</v>
          </cell>
          <cell r="H110">
            <v>46203</v>
          </cell>
          <cell r="I110" t="str">
            <v>4 years,5 months</v>
          </cell>
          <cell r="J110">
            <v>400</v>
          </cell>
          <cell r="K110">
            <v>30</v>
          </cell>
          <cell r="L110">
            <v>430</v>
          </cell>
          <cell r="M110">
            <v>29</v>
          </cell>
          <cell r="N110">
            <v>3.625</v>
          </cell>
          <cell r="O110">
            <v>0</v>
          </cell>
          <cell r="P110">
            <v>0</v>
          </cell>
        </row>
        <row r="111">
          <cell r="B111">
            <v>10513</v>
          </cell>
          <cell r="F111" t="str">
            <v>JAYA KUTTY</v>
          </cell>
          <cell r="G111">
            <v>44796</v>
          </cell>
          <cell r="H111">
            <v>46203</v>
          </cell>
          <cell r="I111" t="str">
            <v>3 years,10 months</v>
          </cell>
          <cell r="J111">
            <v>615</v>
          </cell>
          <cell r="K111">
            <v>50</v>
          </cell>
          <cell r="L111">
            <v>665</v>
          </cell>
          <cell r="M111">
            <v>31</v>
          </cell>
          <cell r="N111">
            <v>19.125</v>
          </cell>
          <cell r="O111">
            <v>0</v>
          </cell>
          <cell r="P111">
            <v>0</v>
          </cell>
        </row>
        <row r="112">
          <cell r="B112">
            <v>10516</v>
          </cell>
          <cell r="F112" t="str">
            <v>MUTHU KUTTY</v>
          </cell>
          <cell r="G112">
            <v>44796</v>
          </cell>
          <cell r="H112">
            <v>46203</v>
          </cell>
          <cell r="I112" t="str">
            <v>3 years,10 months</v>
          </cell>
          <cell r="J112">
            <v>833</v>
          </cell>
          <cell r="K112">
            <v>0</v>
          </cell>
          <cell r="L112">
            <v>833</v>
          </cell>
          <cell r="M112">
            <v>23</v>
          </cell>
          <cell r="N112">
            <v>0.25</v>
          </cell>
          <cell r="O112">
            <v>7</v>
          </cell>
          <cell r="P112">
            <v>0</v>
          </cell>
        </row>
      </sheetData>
      <sheetData sheetId="2">
        <row r="5">
          <cell r="B5">
            <v>1002</v>
          </cell>
          <cell r="C5" t="str">
            <v>M.PERUMALSAMY</v>
          </cell>
          <cell r="E5" t="str">
            <v>M Shop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0</v>
          </cell>
          <cell r="AI5">
            <v>1</v>
          </cell>
          <cell r="AJ5">
            <v>1</v>
          </cell>
          <cell r="AK5">
            <v>30</v>
          </cell>
          <cell r="AL5">
            <v>4</v>
          </cell>
          <cell r="AM5">
            <v>26</v>
          </cell>
        </row>
        <row r="6">
          <cell r="B6">
            <v>1003</v>
          </cell>
          <cell r="C6" t="str">
            <v>S.PARTHIPAN</v>
          </cell>
          <cell r="E6" t="str">
            <v>Purchase</v>
          </cell>
          <cell r="F6">
            <v>1</v>
          </cell>
          <cell r="G6">
            <v>0.5</v>
          </cell>
          <cell r="H6">
            <v>1</v>
          </cell>
          <cell r="I6">
            <v>1</v>
          </cell>
          <cell r="J6">
            <v>0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0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0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0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26.5</v>
          </cell>
          <cell r="AL6">
            <v>0</v>
          </cell>
          <cell r="AM6">
            <v>26.5</v>
          </cell>
        </row>
        <row r="7">
          <cell r="B7">
            <v>1004</v>
          </cell>
          <cell r="C7" t="str">
            <v>R.VENKATACHALAM</v>
          </cell>
          <cell r="E7" t="str">
            <v>Accounts</v>
          </cell>
          <cell r="F7">
            <v>0</v>
          </cell>
          <cell r="G7">
            <v>1</v>
          </cell>
          <cell r="H7">
            <v>1</v>
          </cell>
          <cell r="I7">
            <v>1</v>
          </cell>
          <cell r="J7">
            <v>0</v>
          </cell>
          <cell r="K7">
            <v>1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0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0</v>
          </cell>
          <cell r="Y7">
            <v>1</v>
          </cell>
          <cell r="Z7">
            <v>1</v>
          </cell>
          <cell r="AA7">
            <v>0</v>
          </cell>
          <cell r="AB7">
            <v>1</v>
          </cell>
          <cell r="AC7">
            <v>1</v>
          </cell>
          <cell r="AD7">
            <v>1</v>
          </cell>
          <cell r="AE7">
            <v>0.5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22.5</v>
          </cell>
          <cell r="AL7">
            <v>0.5</v>
          </cell>
          <cell r="AM7">
            <v>22</v>
          </cell>
        </row>
        <row r="8">
          <cell r="B8">
            <v>1005</v>
          </cell>
          <cell r="C8" t="str">
            <v>G.VIJAYAKUMAR</v>
          </cell>
          <cell r="E8" t="str">
            <v>Vendor Development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0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0</v>
          </cell>
          <cell r="R8">
            <v>0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0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0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25</v>
          </cell>
          <cell r="AL8">
            <v>0</v>
          </cell>
          <cell r="AM8">
            <v>25</v>
          </cell>
        </row>
        <row r="9">
          <cell r="B9">
            <v>1006</v>
          </cell>
          <cell r="C9" t="str">
            <v>R.KRISHNAMOORTHY</v>
          </cell>
          <cell r="E9" t="str">
            <v>Production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0.5</v>
          </cell>
          <cell r="R9">
            <v>1</v>
          </cell>
          <cell r="S9">
            <v>0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0.5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28</v>
          </cell>
          <cell r="AL9">
            <v>3</v>
          </cell>
          <cell r="AM9">
            <v>25</v>
          </cell>
        </row>
        <row r="10">
          <cell r="B10">
            <v>1007</v>
          </cell>
          <cell r="C10" t="str">
            <v>S.VANITHA</v>
          </cell>
          <cell r="E10" t="str">
            <v>Marketing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0</v>
          </cell>
          <cell r="K10">
            <v>1</v>
          </cell>
          <cell r="L10">
            <v>1</v>
          </cell>
          <cell r="M10">
            <v>0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0.5</v>
          </cell>
          <cell r="AC10">
            <v>1</v>
          </cell>
          <cell r="AD10">
            <v>1</v>
          </cell>
          <cell r="AE10">
            <v>0.5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26</v>
          </cell>
          <cell r="AL10">
            <v>1.5</v>
          </cell>
          <cell r="AM10">
            <v>24.5</v>
          </cell>
        </row>
        <row r="11">
          <cell r="B11">
            <v>1009</v>
          </cell>
          <cell r="C11" t="str">
            <v>R.UMASANKAR</v>
          </cell>
          <cell r="E11" t="str">
            <v>Production</v>
          </cell>
          <cell r="F11">
            <v>1</v>
          </cell>
          <cell r="G11">
            <v>1</v>
          </cell>
          <cell r="H11">
            <v>1</v>
          </cell>
          <cell r="I11">
            <v>0.5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0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0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0</v>
          </cell>
          <cell r="AF11">
            <v>1</v>
          </cell>
          <cell r="AG11">
            <v>0</v>
          </cell>
          <cell r="AH11">
            <v>1</v>
          </cell>
          <cell r="AI11">
            <v>1</v>
          </cell>
          <cell r="AJ11">
            <v>1</v>
          </cell>
          <cell r="AK11">
            <v>25.5</v>
          </cell>
          <cell r="AL11">
            <v>1</v>
          </cell>
          <cell r="AM11">
            <v>24.5</v>
          </cell>
        </row>
        <row r="12">
          <cell r="B12">
            <v>1010</v>
          </cell>
          <cell r="C12" t="str">
            <v>S.THIYAGU</v>
          </cell>
          <cell r="E12" t="str">
            <v>Design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0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0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0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27</v>
          </cell>
          <cell r="AL12">
            <v>0</v>
          </cell>
          <cell r="AM12">
            <v>27</v>
          </cell>
        </row>
        <row r="13">
          <cell r="B13">
            <v>1012</v>
          </cell>
          <cell r="C13" t="str">
            <v>R.PAUL</v>
          </cell>
          <cell r="E13" t="str">
            <v>Quality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0</v>
          </cell>
          <cell r="R13">
            <v>0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0</v>
          </cell>
          <cell r="AF13">
            <v>0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25</v>
          </cell>
          <cell r="AL13">
            <v>1</v>
          </cell>
          <cell r="AM13">
            <v>24</v>
          </cell>
        </row>
        <row r="14">
          <cell r="B14">
            <v>1013</v>
          </cell>
          <cell r="C14" t="str">
            <v>T.SUNDARRAJ</v>
          </cell>
          <cell r="E14" t="str">
            <v>Stores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0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0</v>
          </cell>
          <cell r="Y14">
            <v>1</v>
          </cell>
          <cell r="Z14">
            <v>1</v>
          </cell>
          <cell r="AA14">
            <v>1</v>
          </cell>
          <cell r="AB14">
            <v>0</v>
          </cell>
          <cell r="AC14">
            <v>1</v>
          </cell>
          <cell r="AD14">
            <v>1</v>
          </cell>
          <cell r="AE14">
            <v>0</v>
          </cell>
          <cell r="AF14">
            <v>1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27</v>
          </cell>
          <cell r="AL14">
            <v>1</v>
          </cell>
          <cell r="AM14">
            <v>26</v>
          </cell>
        </row>
        <row r="15">
          <cell r="B15">
            <v>1014</v>
          </cell>
          <cell r="C15" t="str">
            <v>P.K.GANESHKUMAR</v>
          </cell>
          <cell r="E15" t="str">
            <v>Production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</v>
          </cell>
          <cell r="S15">
            <v>1</v>
          </cell>
          <cell r="T15">
            <v>1</v>
          </cell>
          <cell r="U15">
            <v>0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18</v>
          </cell>
          <cell r="AL15">
            <v>2</v>
          </cell>
          <cell r="AM15">
            <v>16</v>
          </cell>
        </row>
        <row r="16">
          <cell r="B16">
            <v>1015</v>
          </cell>
          <cell r="C16" t="str">
            <v>A.ANNAVI</v>
          </cell>
          <cell r="E16" t="str">
            <v>Maintanance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0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0</v>
          </cell>
          <cell r="Y16">
            <v>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25</v>
          </cell>
          <cell r="AL16">
            <v>0</v>
          </cell>
          <cell r="AM16">
            <v>25</v>
          </cell>
        </row>
        <row r="17">
          <cell r="B17">
            <v>1016</v>
          </cell>
          <cell r="C17" t="str">
            <v>S.VANMATHI</v>
          </cell>
          <cell r="E17" t="str">
            <v>Accounts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0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0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0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27</v>
          </cell>
          <cell r="AL17">
            <v>0</v>
          </cell>
          <cell r="AM17">
            <v>27</v>
          </cell>
        </row>
        <row r="18">
          <cell r="B18">
            <v>1017</v>
          </cell>
          <cell r="C18" t="str">
            <v>P.VIDYA</v>
          </cell>
          <cell r="E18" t="str">
            <v>Accounts</v>
          </cell>
          <cell r="F18">
            <v>1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0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0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1</v>
          </cell>
          <cell r="AI18">
            <v>1</v>
          </cell>
          <cell r="AJ18">
            <v>1</v>
          </cell>
          <cell r="AK18">
            <v>24</v>
          </cell>
          <cell r="AL18">
            <v>0</v>
          </cell>
          <cell r="AM18">
            <v>24</v>
          </cell>
        </row>
        <row r="19">
          <cell r="B19">
            <v>1019</v>
          </cell>
          <cell r="C19" t="str">
            <v>S.SHIVA</v>
          </cell>
          <cell r="D19" t="str">
            <v>H</v>
          </cell>
          <cell r="E19" t="str">
            <v>Assembly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0.5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0</v>
          </cell>
          <cell r="V19">
            <v>1</v>
          </cell>
          <cell r="W19">
            <v>1</v>
          </cell>
          <cell r="X19">
            <v>0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27.5</v>
          </cell>
          <cell r="AL19">
            <v>2</v>
          </cell>
          <cell r="AM19">
            <v>25.5</v>
          </cell>
        </row>
        <row r="20">
          <cell r="B20">
            <v>1020</v>
          </cell>
          <cell r="C20" t="str">
            <v>N.DHINESHKUMAR</v>
          </cell>
          <cell r="D20" t="str">
            <v>H</v>
          </cell>
          <cell r="E20" t="str">
            <v>Production</v>
          </cell>
          <cell r="F20">
            <v>0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0</v>
          </cell>
          <cell r="T20">
            <v>1</v>
          </cell>
          <cell r="U20">
            <v>0.5</v>
          </cell>
          <cell r="V20">
            <v>0</v>
          </cell>
          <cell r="W20">
            <v>0</v>
          </cell>
          <cell r="X20">
            <v>0</v>
          </cell>
          <cell r="Y20">
            <v>1</v>
          </cell>
          <cell r="Z20">
            <v>1</v>
          </cell>
          <cell r="AA20">
            <v>1</v>
          </cell>
          <cell r="AB20">
            <v>0.5</v>
          </cell>
          <cell r="AC20">
            <v>1</v>
          </cell>
          <cell r="AD20">
            <v>1</v>
          </cell>
          <cell r="AE20">
            <v>0.5</v>
          </cell>
          <cell r="AF20">
            <v>0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20.5</v>
          </cell>
          <cell r="AL20">
            <v>1.5</v>
          </cell>
          <cell r="AM20">
            <v>19</v>
          </cell>
        </row>
        <row r="21">
          <cell r="B21">
            <v>1021</v>
          </cell>
          <cell r="C21" t="str">
            <v>A.PARTHASARATHI</v>
          </cell>
          <cell r="D21" t="str">
            <v>H</v>
          </cell>
          <cell r="E21" t="str">
            <v>Production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31</v>
          </cell>
          <cell r="AL21">
            <v>4</v>
          </cell>
          <cell r="AM21">
            <v>27</v>
          </cell>
        </row>
        <row r="22">
          <cell r="B22">
            <v>1022</v>
          </cell>
          <cell r="C22" t="str">
            <v>M.SRIRAM</v>
          </cell>
          <cell r="E22" t="str">
            <v>Electrical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0</v>
          </cell>
          <cell r="K22">
            <v>1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0</v>
          </cell>
          <cell r="AF22">
            <v>1</v>
          </cell>
          <cell r="AG22">
            <v>1</v>
          </cell>
          <cell r="AH22">
            <v>1</v>
          </cell>
          <cell r="AI22">
            <v>0</v>
          </cell>
          <cell r="AJ22">
            <v>1</v>
          </cell>
          <cell r="AK22">
            <v>27</v>
          </cell>
          <cell r="AL22">
            <v>2</v>
          </cell>
          <cell r="AM22">
            <v>25</v>
          </cell>
        </row>
        <row r="23">
          <cell r="B23">
            <v>1024</v>
          </cell>
          <cell r="C23" t="str">
            <v>R.SAKILRAJ</v>
          </cell>
          <cell r="D23" t="str">
            <v>H</v>
          </cell>
          <cell r="E23" t="str">
            <v>Purchase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0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0</v>
          </cell>
          <cell r="R23">
            <v>0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0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0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26</v>
          </cell>
          <cell r="AL23">
            <v>0</v>
          </cell>
          <cell r="AM23">
            <v>26</v>
          </cell>
        </row>
        <row r="24">
          <cell r="B24">
            <v>1025</v>
          </cell>
          <cell r="C24" t="str">
            <v>V.VIJAY</v>
          </cell>
          <cell r="D24" t="str">
            <v>H</v>
          </cell>
          <cell r="E24" t="str">
            <v>Assembly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1</v>
          </cell>
          <cell r="P24">
            <v>1</v>
          </cell>
          <cell r="Q24">
            <v>0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0</v>
          </cell>
          <cell r="Y24">
            <v>1</v>
          </cell>
          <cell r="Z24">
            <v>0.5</v>
          </cell>
          <cell r="AA24">
            <v>1</v>
          </cell>
          <cell r="AB24">
            <v>1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23.5</v>
          </cell>
          <cell r="AL24">
            <v>0</v>
          </cell>
          <cell r="AM24">
            <v>23.5</v>
          </cell>
        </row>
        <row r="25">
          <cell r="B25">
            <v>1028</v>
          </cell>
          <cell r="C25" t="str">
            <v>B.SUBBURAM</v>
          </cell>
          <cell r="E25" t="str">
            <v>Electrical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0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0</v>
          </cell>
          <cell r="X25">
            <v>0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0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26</v>
          </cell>
          <cell r="AL25">
            <v>0</v>
          </cell>
          <cell r="AM25">
            <v>26</v>
          </cell>
        </row>
        <row r="26">
          <cell r="B26">
            <v>1032</v>
          </cell>
          <cell r="C26" t="str">
            <v>D.SILAMBARASAN</v>
          </cell>
          <cell r="D26" t="str">
            <v>H</v>
          </cell>
          <cell r="E26" t="str">
            <v>Electrical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27</v>
          </cell>
          <cell r="AL26">
            <v>2</v>
          </cell>
          <cell r="AM26">
            <v>25</v>
          </cell>
        </row>
        <row r="27">
          <cell r="B27">
            <v>1035</v>
          </cell>
          <cell r="C27" t="str">
            <v>R.DIVYA</v>
          </cell>
          <cell r="E27" t="str">
            <v>Design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0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0.5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28.5</v>
          </cell>
          <cell r="AL27">
            <v>1.5</v>
          </cell>
          <cell r="AM27">
            <v>27</v>
          </cell>
        </row>
        <row r="28">
          <cell r="B28">
            <v>1038</v>
          </cell>
          <cell r="C28" t="str">
            <v>A.GOWTHAM</v>
          </cell>
          <cell r="D28" t="str">
            <v>H</v>
          </cell>
          <cell r="E28" t="str">
            <v>Design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0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0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0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28</v>
          </cell>
          <cell r="AL28">
            <v>1</v>
          </cell>
          <cell r="AM28">
            <v>27</v>
          </cell>
        </row>
        <row r="29">
          <cell r="B29">
            <v>1040</v>
          </cell>
          <cell r="C29" t="str">
            <v>N.JAYABRINDHA</v>
          </cell>
          <cell r="E29" t="str">
            <v xml:space="preserve">Electrical 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0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0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0</v>
          </cell>
          <cell r="X29">
            <v>0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0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26</v>
          </cell>
          <cell r="AL29">
            <v>0</v>
          </cell>
          <cell r="AM29">
            <v>26</v>
          </cell>
        </row>
        <row r="30">
          <cell r="B30">
            <v>1042</v>
          </cell>
          <cell r="C30" t="str">
            <v>V.CHARUKESHINI</v>
          </cell>
          <cell r="E30" t="str">
            <v>Reception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0</v>
          </cell>
          <cell r="K30">
            <v>1</v>
          </cell>
          <cell r="L30">
            <v>1</v>
          </cell>
          <cell r="M30">
            <v>1</v>
          </cell>
          <cell r="N30">
            <v>0</v>
          </cell>
          <cell r="O30">
            <v>1</v>
          </cell>
          <cell r="P30">
            <v>1</v>
          </cell>
          <cell r="Q30">
            <v>0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0</v>
          </cell>
          <cell r="Y30">
            <v>0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0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25</v>
          </cell>
          <cell r="AL30">
            <v>0</v>
          </cell>
          <cell r="AM30">
            <v>25</v>
          </cell>
        </row>
        <row r="31">
          <cell r="B31">
            <v>1047</v>
          </cell>
          <cell r="C31" t="str">
            <v>M.KARTHIKEYAN</v>
          </cell>
          <cell r="D31" t="str">
            <v>H</v>
          </cell>
          <cell r="E31" t="str">
            <v>Design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0</v>
          </cell>
          <cell r="K31">
            <v>0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0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0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0</v>
          </cell>
          <cell r="AF31">
            <v>1</v>
          </cell>
          <cell r="AG31">
            <v>1</v>
          </cell>
          <cell r="AH31">
            <v>0</v>
          </cell>
          <cell r="AI31">
            <v>1</v>
          </cell>
          <cell r="AJ31">
            <v>1</v>
          </cell>
          <cell r="AK31">
            <v>25</v>
          </cell>
          <cell r="AL31">
            <v>0</v>
          </cell>
          <cell r="AM31">
            <v>25</v>
          </cell>
        </row>
        <row r="32">
          <cell r="B32">
            <v>1050</v>
          </cell>
          <cell r="C32" t="str">
            <v>B.KUMARESAN</v>
          </cell>
          <cell r="D32" t="str">
            <v>H</v>
          </cell>
          <cell r="E32" t="str">
            <v>Design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0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0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0</v>
          </cell>
          <cell r="Y32">
            <v>1</v>
          </cell>
          <cell r="Z32">
            <v>0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0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26</v>
          </cell>
          <cell r="AL32">
            <v>0</v>
          </cell>
          <cell r="AM32">
            <v>26</v>
          </cell>
        </row>
        <row r="33">
          <cell r="B33">
            <v>1055</v>
          </cell>
          <cell r="C33" t="str">
            <v>M.MANIKANDAN</v>
          </cell>
          <cell r="E33" t="str">
            <v>Electrical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0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0</v>
          </cell>
          <cell r="Y33">
            <v>1</v>
          </cell>
          <cell r="Z33">
            <v>1</v>
          </cell>
          <cell r="AA33">
            <v>0</v>
          </cell>
          <cell r="AB33">
            <v>1</v>
          </cell>
          <cell r="AC33">
            <v>1</v>
          </cell>
          <cell r="AD33">
            <v>1</v>
          </cell>
          <cell r="AE33">
            <v>0</v>
          </cell>
          <cell r="AF33">
            <v>0</v>
          </cell>
          <cell r="AG33">
            <v>0</v>
          </cell>
          <cell r="AH33">
            <v>1</v>
          </cell>
          <cell r="AI33">
            <v>1</v>
          </cell>
          <cell r="AJ33">
            <v>1</v>
          </cell>
          <cell r="AK33">
            <v>25</v>
          </cell>
          <cell r="AL33">
            <v>2</v>
          </cell>
          <cell r="AM33">
            <v>23</v>
          </cell>
        </row>
        <row r="34">
          <cell r="B34">
            <v>1058</v>
          </cell>
          <cell r="C34" t="str">
            <v>R VENKATESH</v>
          </cell>
          <cell r="E34" t="str">
            <v>HR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0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0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0</v>
          </cell>
          <cell r="Y34">
            <v>1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0</v>
          </cell>
          <cell r="AF34">
            <v>1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27</v>
          </cell>
          <cell r="AL34">
            <v>0</v>
          </cell>
          <cell r="AM34">
            <v>27</v>
          </cell>
        </row>
        <row r="35">
          <cell r="B35">
            <v>1059</v>
          </cell>
          <cell r="C35" t="str">
            <v>S.KRISHNAN</v>
          </cell>
          <cell r="E35" t="str">
            <v>Electrical</v>
          </cell>
          <cell r="F35">
            <v>1</v>
          </cell>
          <cell r="G35">
            <v>0</v>
          </cell>
          <cell r="H35">
            <v>1</v>
          </cell>
          <cell r="I35">
            <v>1</v>
          </cell>
          <cell r="J35">
            <v>0</v>
          </cell>
          <cell r="K35">
            <v>1</v>
          </cell>
          <cell r="L35">
            <v>1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</v>
          </cell>
          <cell r="T35">
            <v>0</v>
          </cell>
          <cell r="U35">
            <v>1</v>
          </cell>
          <cell r="V35">
            <v>1</v>
          </cell>
          <cell r="W35">
            <v>1</v>
          </cell>
          <cell r="X35">
            <v>0</v>
          </cell>
          <cell r="Y35">
            <v>0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0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20</v>
          </cell>
          <cell r="AL35">
            <v>1</v>
          </cell>
          <cell r="AM35">
            <v>19</v>
          </cell>
        </row>
        <row r="36">
          <cell r="B36">
            <v>1061</v>
          </cell>
          <cell r="C36" t="str">
            <v>R.NIZANTH</v>
          </cell>
          <cell r="E36" t="str">
            <v>Fabrication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0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0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0.5</v>
          </cell>
          <cell r="W36">
            <v>1</v>
          </cell>
          <cell r="X36">
            <v>0</v>
          </cell>
          <cell r="Y36">
            <v>1</v>
          </cell>
          <cell r="Z36">
            <v>1</v>
          </cell>
          <cell r="AA36">
            <v>1</v>
          </cell>
          <cell r="AB36">
            <v>1</v>
          </cell>
          <cell r="AC36">
            <v>0.5</v>
          </cell>
          <cell r="AD36">
            <v>1</v>
          </cell>
          <cell r="AE36">
            <v>0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26</v>
          </cell>
          <cell r="AL36">
            <v>0</v>
          </cell>
          <cell r="AM36">
            <v>26</v>
          </cell>
        </row>
        <row r="37">
          <cell r="B37">
            <v>1064</v>
          </cell>
          <cell r="C37" t="str">
            <v>R.VAISHNAVI</v>
          </cell>
          <cell r="E37" t="str">
            <v>Admin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0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0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0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23</v>
          </cell>
          <cell r="AL37">
            <v>0</v>
          </cell>
          <cell r="AM37">
            <v>23</v>
          </cell>
        </row>
        <row r="38">
          <cell r="B38">
            <v>1065</v>
          </cell>
          <cell r="C38" t="str">
            <v>K.POOVANNAN</v>
          </cell>
          <cell r="E38" t="str">
            <v>Production</v>
          </cell>
          <cell r="F38">
            <v>1</v>
          </cell>
          <cell r="G38">
            <v>1</v>
          </cell>
          <cell r="H38">
            <v>1</v>
          </cell>
          <cell r="I38">
            <v>0</v>
          </cell>
          <cell r="J38">
            <v>0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0</v>
          </cell>
          <cell r="Q38">
            <v>0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0</v>
          </cell>
          <cell r="X38">
            <v>0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0</v>
          </cell>
          <cell r="AE38">
            <v>0</v>
          </cell>
          <cell r="AF38">
            <v>0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22</v>
          </cell>
          <cell r="AL38">
            <v>0</v>
          </cell>
          <cell r="AM38">
            <v>22</v>
          </cell>
        </row>
        <row r="39">
          <cell r="B39">
            <v>1070</v>
          </cell>
          <cell r="C39" t="str">
            <v>S.SURENDRAN</v>
          </cell>
          <cell r="E39" t="str">
            <v>Electrical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31</v>
          </cell>
          <cell r="AL39">
            <v>4</v>
          </cell>
          <cell r="AM39">
            <v>27</v>
          </cell>
        </row>
        <row r="40">
          <cell r="B40">
            <v>1072</v>
          </cell>
          <cell r="C40" t="str">
            <v>G.SARAVANAN</v>
          </cell>
          <cell r="E40" t="str">
            <v>Plant Head</v>
          </cell>
          <cell r="F40">
            <v>1</v>
          </cell>
          <cell r="G40">
            <v>1</v>
          </cell>
          <cell r="H40">
            <v>1</v>
          </cell>
          <cell r="I40">
            <v>0</v>
          </cell>
          <cell r="J40">
            <v>0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0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0</v>
          </cell>
          <cell r="X40">
            <v>0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0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25</v>
          </cell>
          <cell r="AL40">
            <v>0</v>
          </cell>
          <cell r="AM40">
            <v>25</v>
          </cell>
        </row>
        <row r="41">
          <cell r="B41">
            <v>1073</v>
          </cell>
          <cell r="C41" t="str">
            <v>S.MARUTHAPANDIAN</v>
          </cell>
          <cell r="E41" t="str">
            <v>M.Shop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0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30</v>
          </cell>
          <cell r="AL41">
            <v>4</v>
          </cell>
          <cell r="AM41">
            <v>26</v>
          </cell>
        </row>
        <row r="42">
          <cell r="B42">
            <v>1074</v>
          </cell>
          <cell r="C42" t="str">
            <v>N.RAVIKUMAR</v>
          </cell>
          <cell r="E42" t="str">
            <v>Assembly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0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0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29</v>
          </cell>
          <cell r="AL42">
            <v>2</v>
          </cell>
          <cell r="AM42">
            <v>27</v>
          </cell>
        </row>
        <row r="43">
          <cell r="B43">
            <v>1075</v>
          </cell>
          <cell r="C43" t="str">
            <v>J.HILLDA STEFFY</v>
          </cell>
          <cell r="E43" t="str">
            <v>HR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0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0</v>
          </cell>
          <cell r="Q43">
            <v>0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13</v>
          </cell>
          <cell r="AL43">
            <v>0</v>
          </cell>
          <cell r="AM43">
            <v>13</v>
          </cell>
        </row>
        <row r="44">
          <cell r="B44">
            <v>1076</v>
          </cell>
          <cell r="C44" t="str">
            <v>M.VANATHURAI PANDI</v>
          </cell>
          <cell r="E44" t="str">
            <v>Assembly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31</v>
          </cell>
          <cell r="AL44">
            <v>4</v>
          </cell>
          <cell r="AM44">
            <v>27</v>
          </cell>
        </row>
        <row r="45">
          <cell r="B45">
            <v>1077</v>
          </cell>
          <cell r="C45" t="str">
            <v>N.KISHORE KUMAR</v>
          </cell>
          <cell r="E45" t="str">
            <v>Electrical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1</v>
          </cell>
          <cell r="S45">
            <v>1</v>
          </cell>
          <cell r="T45">
            <v>1</v>
          </cell>
          <cell r="U45">
            <v>0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0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0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25</v>
          </cell>
          <cell r="AL45">
            <v>2</v>
          </cell>
          <cell r="AM45">
            <v>23</v>
          </cell>
        </row>
        <row r="46">
          <cell r="B46">
            <v>1078</v>
          </cell>
          <cell r="C46" t="str">
            <v>H.NANDHINI</v>
          </cell>
          <cell r="E46" t="str">
            <v>Electrical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0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0</v>
          </cell>
          <cell r="R46">
            <v>0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0</v>
          </cell>
          <cell r="X46">
            <v>0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0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25</v>
          </cell>
          <cell r="AL46">
            <v>0</v>
          </cell>
          <cell r="AM46">
            <v>25</v>
          </cell>
        </row>
        <row r="47">
          <cell r="B47">
            <v>1079</v>
          </cell>
          <cell r="C47" t="str">
            <v>L.SUBHASREE</v>
          </cell>
          <cell r="E47" t="str">
            <v>Electrical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0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0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0</v>
          </cell>
          <cell r="W47">
            <v>0</v>
          </cell>
          <cell r="X47">
            <v>0</v>
          </cell>
          <cell r="Y47">
            <v>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0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25</v>
          </cell>
          <cell r="AL47">
            <v>0</v>
          </cell>
          <cell r="AM47">
            <v>25</v>
          </cell>
        </row>
        <row r="48">
          <cell r="B48">
            <v>1080</v>
          </cell>
          <cell r="C48" t="str">
            <v>N.RAGAVENDRA</v>
          </cell>
          <cell r="E48" t="str">
            <v>Electrical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0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0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0</v>
          </cell>
          <cell r="Y48">
            <v>1</v>
          </cell>
          <cell r="Z48">
            <v>1</v>
          </cell>
          <cell r="AA48">
            <v>1</v>
          </cell>
          <cell r="AB48">
            <v>0</v>
          </cell>
          <cell r="AC48">
            <v>1</v>
          </cell>
          <cell r="AD48">
            <v>1</v>
          </cell>
          <cell r="AE48">
            <v>0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26</v>
          </cell>
          <cell r="AL48">
            <v>0</v>
          </cell>
          <cell r="AM48">
            <v>26</v>
          </cell>
        </row>
        <row r="49">
          <cell r="B49">
            <v>1081</v>
          </cell>
          <cell r="C49" t="str">
            <v>G.MOHANRAJ</v>
          </cell>
          <cell r="E49" t="str">
            <v>Electrical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0</v>
          </cell>
          <cell r="O49">
            <v>1</v>
          </cell>
          <cell r="P49">
            <v>1</v>
          </cell>
          <cell r="Q49">
            <v>0</v>
          </cell>
          <cell r="R49">
            <v>0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0</v>
          </cell>
          <cell r="AK49">
            <v>27</v>
          </cell>
          <cell r="AL49">
            <v>3</v>
          </cell>
          <cell r="AM49">
            <v>24</v>
          </cell>
        </row>
        <row r="50">
          <cell r="B50">
            <v>1082</v>
          </cell>
          <cell r="C50" t="str">
            <v>P.MOHAMMED SABEEK</v>
          </cell>
          <cell r="E50" t="str">
            <v>Electrical</v>
          </cell>
          <cell r="F50">
            <v>1</v>
          </cell>
          <cell r="G50">
            <v>1</v>
          </cell>
          <cell r="H50">
            <v>1</v>
          </cell>
          <cell r="I50">
            <v>0</v>
          </cell>
          <cell r="J50">
            <v>0</v>
          </cell>
          <cell r="K50">
            <v>0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0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0</v>
          </cell>
          <cell r="Y50">
            <v>1</v>
          </cell>
          <cell r="Z50">
            <v>1</v>
          </cell>
          <cell r="AA50">
            <v>1</v>
          </cell>
          <cell r="AB50">
            <v>1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23</v>
          </cell>
          <cell r="AL50">
            <v>0</v>
          </cell>
          <cell r="AM50">
            <v>23</v>
          </cell>
        </row>
        <row r="51">
          <cell r="B51">
            <v>1083</v>
          </cell>
          <cell r="C51" t="str">
            <v>S.IMRAN HUSSAIN</v>
          </cell>
          <cell r="E51" t="str">
            <v>Electrical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0</v>
          </cell>
          <cell r="K51">
            <v>0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0</v>
          </cell>
          <cell r="V51">
            <v>0</v>
          </cell>
          <cell r="W51">
            <v>1</v>
          </cell>
          <cell r="X51">
            <v>0</v>
          </cell>
          <cell r="Y51">
            <v>1</v>
          </cell>
          <cell r="Z51">
            <v>1</v>
          </cell>
          <cell r="AA51">
            <v>1</v>
          </cell>
          <cell r="AB51">
            <v>0</v>
          </cell>
          <cell r="AC51">
            <v>1</v>
          </cell>
          <cell r="AD51">
            <v>1</v>
          </cell>
          <cell r="AE51">
            <v>0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24</v>
          </cell>
          <cell r="AL51">
            <v>1</v>
          </cell>
          <cell r="AM51">
            <v>23</v>
          </cell>
        </row>
        <row r="52">
          <cell r="B52">
            <v>1084</v>
          </cell>
          <cell r="C52" t="str">
            <v>D.SANJEEV</v>
          </cell>
          <cell r="E52" t="str">
            <v>Electrical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0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0</v>
          </cell>
          <cell r="R52">
            <v>0</v>
          </cell>
          <cell r="S52">
            <v>0.5</v>
          </cell>
          <cell r="T52">
            <v>1</v>
          </cell>
          <cell r="U52">
            <v>0</v>
          </cell>
          <cell r="V52">
            <v>1</v>
          </cell>
          <cell r="W52">
            <v>1</v>
          </cell>
          <cell r="X52">
            <v>0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0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24.5</v>
          </cell>
          <cell r="AL52">
            <v>0</v>
          </cell>
          <cell r="AM52">
            <v>24.5</v>
          </cell>
        </row>
        <row r="53">
          <cell r="B53">
            <v>1085</v>
          </cell>
          <cell r="C53" t="str">
            <v>V.POOVARASAN</v>
          </cell>
          <cell r="E53" t="str">
            <v>Assembly</v>
          </cell>
          <cell r="I53">
            <v>1</v>
          </cell>
          <cell r="J53">
            <v>0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0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0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24</v>
          </cell>
          <cell r="AL53">
            <v>0</v>
          </cell>
          <cell r="AM53">
            <v>24</v>
          </cell>
        </row>
        <row r="54">
          <cell r="B54">
            <v>1086</v>
          </cell>
          <cell r="C54" t="str">
            <v>M.ARUNKUMAR</v>
          </cell>
          <cell r="E54" t="str">
            <v>M.Shop</v>
          </cell>
          <cell r="J54">
            <v>0</v>
          </cell>
          <cell r="O54">
            <v>1</v>
          </cell>
          <cell r="P54">
            <v>1</v>
          </cell>
          <cell r="Q54">
            <v>0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0</v>
          </cell>
          <cell r="AB54">
            <v>1</v>
          </cell>
          <cell r="AC54">
            <v>1</v>
          </cell>
          <cell r="AD54">
            <v>1</v>
          </cell>
          <cell r="AE54">
            <v>0</v>
          </cell>
          <cell r="AF54">
            <v>1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19</v>
          </cell>
          <cell r="AL54">
            <v>1</v>
          </cell>
          <cell r="AM54">
            <v>18</v>
          </cell>
        </row>
        <row r="55">
          <cell r="B55">
            <v>1087</v>
          </cell>
          <cell r="C55" t="str">
            <v>A.INDIRAN</v>
          </cell>
          <cell r="E55" t="str">
            <v>Electrical</v>
          </cell>
          <cell r="J55">
            <v>0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0</v>
          </cell>
          <cell r="Y55">
            <v>0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0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19</v>
          </cell>
          <cell r="AL55">
            <v>1</v>
          </cell>
          <cell r="AM55">
            <v>18</v>
          </cell>
        </row>
        <row r="56">
          <cell r="B56">
            <v>1088</v>
          </cell>
          <cell r="C56" t="str">
            <v>B.PERARASI</v>
          </cell>
          <cell r="E56" t="str">
            <v>Stores</v>
          </cell>
          <cell r="AE56">
            <v>0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5</v>
          </cell>
          <cell r="AL56">
            <v>0</v>
          </cell>
          <cell r="AM56">
            <v>5</v>
          </cell>
        </row>
        <row r="57">
          <cell r="B57">
            <v>1089</v>
          </cell>
          <cell r="C57" t="str">
            <v>K.KARTHIK</v>
          </cell>
          <cell r="E57" t="str">
            <v>HR</v>
          </cell>
          <cell r="AE57">
            <v>0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5</v>
          </cell>
          <cell r="AL57">
            <v>0</v>
          </cell>
          <cell r="AM57">
            <v>5</v>
          </cell>
        </row>
        <row r="58">
          <cell r="C58" t="str">
            <v>P.SOUNDAR RAJAN</v>
          </cell>
          <cell r="E58" t="str">
            <v>BTTC</v>
          </cell>
          <cell r="F58">
            <v>0</v>
          </cell>
          <cell r="G58">
            <v>0</v>
          </cell>
          <cell r="H58">
            <v>1</v>
          </cell>
          <cell r="I58">
            <v>1</v>
          </cell>
          <cell r="J58">
            <v>0</v>
          </cell>
          <cell r="K58">
            <v>1</v>
          </cell>
          <cell r="L58">
            <v>1</v>
          </cell>
          <cell r="M58">
            <v>1</v>
          </cell>
          <cell r="N58">
            <v>0</v>
          </cell>
          <cell r="O58">
            <v>1</v>
          </cell>
          <cell r="P58">
            <v>1</v>
          </cell>
          <cell r="Q58">
            <v>0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0</v>
          </cell>
          <cell r="X58">
            <v>0</v>
          </cell>
          <cell r="Y58">
            <v>1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0</v>
          </cell>
          <cell r="AE58">
            <v>0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22</v>
          </cell>
          <cell r="AL58">
            <v>0</v>
          </cell>
          <cell r="AM58">
            <v>22</v>
          </cell>
        </row>
      </sheetData>
      <sheetData sheetId="3">
        <row r="2">
          <cell r="B2">
            <v>10001</v>
          </cell>
          <cell r="C2" t="str">
            <v>A.LEOPETER</v>
          </cell>
          <cell r="D2" t="str">
            <v>ASSEMBLY</v>
          </cell>
          <cell r="E2">
            <v>8</v>
          </cell>
          <cell r="F2">
            <v>8</v>
          </cell>
          <cell r="G2">
            <v>8</v>
          </cell>
          <cell r="H2">
            <v>8</v>
          </cell>
          <cell r="I2">
            <v>8</v>
          </cell>
          <cell r="J2">
            <v>8</v>
          </cell>
          <cell r="K2">
            <v>8</v>
          </cell>
          <cell r="L2">
            <v>0</v>
          </cell>
          <cell r="M2">
            <v>0</v>
          </cell>
          <cell r="N2">
            <v>8</v>
          </cell>
          <cell r="O2">
            <v>8</v>
          </cell>
          <cell r="P2">
            <v>8</v>
          </cell>
          <cell r="Q2">
            <v>8</v>
          </cell>
          <cell r="R2">
            <v>8</v>
          </cell>
          <cell r="S2">
            <v>8</v>
          </cell>
          <cell r="T2">
            <v>8</v>
          </cell>
          <cell r="U2">
            <v>8</v>
          </cell>
          <cell r="V2">
            <v>8</v>
          </cell>
          <cell r="W2">
            <v>8</v>
          </cell>
          <cell r="X2">
            <v>8</v>
          </cell>
          <cell r="Y2">
            <v>8</v>
          </cell>
          <cell r="Z2">
            <v>0</v>
          </cell>
          <cell r="AA2">
            <v>8</v>
          </cell>
          <cell r="AB2">
            <v>8</v>
          </cell>
          <cell r="AC2">
            <v>8</v>
          </cell>
          <cell r="AD2">
            <v>8</v>
          </cell>
          <cell r="AE2">
            <v>8</v>
          </cell>
          <cell r="AF2">
            <v>8</v>
          </cell>
          <cell r="AG2">
            <v>8</v>
          </cell>
          <cell r="AH2">
            <v>8</v>
          </cell>
          <cell r="AI2">
            <v>8</v>
          </cell>
          <cell r="AJ2">
            <v>28</v>
          </cell>
          <cell r="AK2">
            <v>4</v>
          </cell>
          <cell r="AL2">
            <v>24</v>
          </cell>
          <cell r="AM2">
            <v>3</v>
          </cell>
          <cell r="AN2">
            <v>9</v>
          </cell>
          <cell r="AO2">
            <v>72</v>
          </cell>
        </row>
        <row r="3">
          <cell r="B3">
            <v>10002</v>
          </cell>
          <cell r="C3" t="str">
            <v>D.ZAHEER HUSSAIN</v>
          </cell>
          <cell r="D3" t="str">
            <v>M Shop</v>
          </cell>
          <cell r="E3">
            <v>8</v>
          </cell>
          <cell r="F3">
            <v>8</v>
          </cell>
          <cell r="G3">
            <v>8</v>
          </cell>
          <cell r="H3">
            <v>8</v>
          </cell>
          <cell r="I3">
            <v>0</v>
          </cell>
          <cell r="J3">
            <v>8</v>
          </cell>
          <cell r="K3">
            <v>8</v>
          </cell>
          <cell r="L3">
            <v>0</v>
          </cell>
          <cell r="M3">
            <v>0</v>
          </cell>
          <cell r="N3">
            <v>8</v>
          </cell>
          <cell r="O3">
            <v>8</v>
          </cell>
          <cell r="P3">
            <v>0</v>
          </cell>
          <cell r="Q3">
            <v>8</v>
          </cell>
          <cell r="R3">
            <v>8</v>
          </cell>
          <cell r="S3">
            <v>8</v>
          </cell>
          <cell r="T3">
            <v>8</v>
          </cell>
          <cell r="U3">
            <v>4</v>
          </cell>
          <cell r="V3">
            <v>0</v>
          </cell>
          <cell r="W3">
            <v>0</v>
          </cell>
          <cell r="X3">
            <v>0</v>
          </cell>
          <cell r="Y3">
            <v>8</v>
          </cell>
          <cell r="Z3">
            <v>0</v>
          </cell>
          <cell r="AA3">
            <v>8</v>
          </cell>
          <cell r="AB3">
            <v>8</v>
          </cell>
          <cell r="AC3">
            <v>8</v>
          </cell>
          <cell r="AD3">
            <v>8</v>
          </cell>
          <cell r="AE3">
            <v>8</v>
          </cell>
          <cell r="AF3">
            <v>8</v>
          </cell>
          <cell r="AG3">
            <v>8</v>
          </cell>
          <cell r="AH3">
            <v>8</v>
          </cell>
          <cell r="AI3">
            <v>8</v>
          </cell>
          <cell r="AJ3">
            <v>22.5</v>
          </cell>
          <cell r="AK3">
            <v>1</v>
          </cell>
          <cell r="AL3">
            <v>21.5</v>
          </cell>
          <cell r="AM3">
            <v>5.5</v>
          </cell>
          <cell r="AN3">
            <v>4.3125</v>
          </cell>
          <cell r="AO3">
            <v>34.5</v>
          </cell>
        </row>
        <row r="4">
          <cell r="B4">
            <v>10004</v>
          </cell>
          <cell r="C4" t="str">
            <v>S.SIVAGNANAM</v>
          </cell>
          <cell r="D4" t="str">
            <v>ASSEMBLY</v>
          </cell>
          <cell r="E4">
            <v>8</v>
          </cell>
          <cell r="F4">
            <v>8</v>
          </cell>
          <cell r="G4">
            <v>8</v>
          </cell>
          <cell r="H4">
            <v>8</v>
          </cell>
          <cell r="I4">
            <v>8</v>
          </cell>
          <cell r="J4">
            <v>8</v>
          </cell>
          <cell r="K4">
            <v>8</v>
          </cell>
          <cell r="L4">
            <v>8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8</v>
          </cell>
          <cell r="R4">
            <v>0</v>
          </cell>
          <cell r="S4">
            <v>8</v>
          </cell>
          <cell r="T4">
            <v>8</v>
          </cell>
          <cell r="U4">
            <v>8</v>
          </cell>
          <cell r="V4">
            <v>8</v>
          </cell>
          <cell r="W4">
            <v>0</v>
          </cell>
          <cell r="X4">
            <v>8</v>
          </cell>
          <cell r="Y4">
            <v>8</v>
          </cell>
          <cell r="Z4">
            <v>8</v>
          </cell>
          <cell r="AA4">
            <v>8</v>
          </cell>
          <cell r="AB4">
            <v>8</v>
          </cell>
          <cell r="AC4">
            <v>8</v>
          </cell>
          <cell r="AD4">
            <v>0</v>
          </cell>
          <cell r="AE4">
            <v>8</v>
          </cell>
          <cell r="AF4">
            <v>8</v>
          </cell>
          <cell r="AG4">
            <v>8</v>
          </cell>
          <cell r="AH4">
            <v>8</v>
          </cell>
          <cell r="AI4">
            <v>8</v>
          </cell>
          <cell r="AJ4">
            <v>24</v>
          </cell>
          <cell r="AK4">
            <v>1</v>
          </cell>
          <cell r="AL4">
            <v>23</v>
          </cell>
          <cell r="AM4">
            <v>4</v>
          </cell>
          <cell r="AN4">
            <v>8.5625</v>
          </cell>
          <cell r="AO4">
            <v>68.5</v>
          </cell>
        </row>
        <row r="5">
          <cell r="B5">
            <v>10005</v>
          </cell>
          <cell r="C5" t="str">
            <v>F.GEORGE EDWARD</v>
          </cell>
          <cell r="D5" t="str">
            <v>M Shop</v>
          </cell>
          <cell r="E5">
            <v>8</v>
          </cell>
          <cell r="F5">
            <v>8</v>
          </cell>
          <cell r="G5">
            <v>8</v>
          </cell>
          <cell r="H5">
            <v>8</v>
          </cell>
          <cell r="I5">
            <v>0</v>
          </cell>
          <cell r="J5">
            <v>8</v>
          </cell>
          <cell r="K5">
            <v>8</v>
          </cell>
          <cell r="L5">
            <v>8</v>
          </cell>
          <cell r="M5">
            <v>8</v>
          </cell>
          <cell r="N5">
            <v>8</v>
          </cell>
          <cell r="O5">
            <v>8</v>
          </cell>
          <cell r="P5">
            <v>0</v>
          </cell>
          <cell r="Q5">
            <v>8</v>
          </cell>
          <cell r="R5">
            <v>8</v>
          </cell>
          <cell r="S5">
            <v>8</v>
          </cell>
          <cell r="T5">
            <v>8</v>
          </cell>
          <cell r="U5">
            <v>8</v>
          </cell>
          <cell r="V5">
            <v>8</v>
          </cell>
          <cell r="W5">
            <v>0</v>
          </cell>
          <cell r="X5">
            <v>8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17</v>
          </cell>
          <cell r="AK5">
            <v>0</v>
          </cell>
          <cell r="AL5">
            <v>17</v>
          </cell>
          <cell r="AM5">
            <v>10</v>
          </cell>
          <cell r="AN5">
            <v>6.3125</v>
          </cell>
          <cell r="AO5">
            <v>50.5</v>
          </cell>
        </row>
        <row r="6">
          <cell r="B6">
            <v>10006</v>
          </cell>
          <cell r="C6" t="str">
            <v>D.SALEEM</v>
          </cell>
          <cell r="D6" t="str">
            <v>M Shop</v>
          </cell>
          <cell r="E6">
            <v>8</v>
          </cell>
          <cell r="F6">
            <v>8</v>
          </cell>
          <cell r="G6">
            <v>4</v>
          </cell>
          <cell r="H6">
            <v>8</v>
          </cell>
          <cell r="I6">
            <v>0</v>
          </cell>
          <cell r="J6">
            <v>8</v>
          </cell>
          <cell r="K6">
            <v>8</v>
          </cell>
          <cell r="L6">
            <v>8</v>
          </cell>
          <cell r="M6">
            <v>8</v>
          </cell>
          <cell r="N6">
            <v>4</v>
          </cell>
          <cell r="O6">
            <v>8</v>
          </cell>
          <cell r="P6">
            <v>0</v>
          </cell>
          <cell r="Q6">
            <v>8</v>
          </cell>
          <cell r="R6">
            <v>8</v>
          </cell>
          <cell r="S6">
            <v>8</v>
          </cell>
          <cell r="T6">
            <v>8</v>
          </cell>
          <cell r="U6">
            <v>8</v>
          </cell>
          <cell r="V6">
            <v>0</v>
          </cell>
          <cell r="W6">
            <v>0</v>
          </cell>
          <cell r="X6">
            <v>0</v>
          </cell>
          <cell r="Y6">
            <v>8</v>
          </cell>
          <cell r="Z6">
            <v>8</v>
          </cell>
          <cell r="AA6">
            <v>8</v>
          </cell>
          <cell r="AB6">
            <v>8</v>
          </cell>
          <cell r="AC6">
            <v>0</v>
          </cell>
          <cell r="AD6">
            <v>0</v>
          </cell>
          <cell r="AE6">
            <v>8</v>
          </cell>
          <cell r="AF6">
            <v>8</v>
          </cell>
          <cell r="AG6">
            <v>8</v>
          </cell>
          <cell r="AH6">
            <v>8</v>
          </cell>
          <cell r="AI6">
            <v>8</v>
          </cell>
          <cell r="AJ6">
            <v>23</v>
          </cell>
          <cell r="AK6">
            <v>0</v>
          </cell>
          <cell r="AL6">
            <v>23</v>
          </cell>
          <cell r="AM6">
            <v>4</v>
          </cell>
          <cell r="AN6">
            <v>4.5625</v>
          </cell>
          <cell r="AO6">
            <v>36.5</v>
          </cell>
        </row>
        <row r="7">
          <cell r="B7">
            <v>10007</v>
          </cell>
          <cell r="C7" t="str">
            <v>P.ESWARAN</v>
          </cell>
          <cell r="D7" t="str">
            <v>STORES</v>
          </cell>
          <cell r="E7">
            <v>8</v>
          </cell>
          <cell r="F7">
            <v>8</v>
          </cell>
          <cell r="G7">
            <v>8</v>
          </cell>
          <cell r="H7">
            <v>8</v>
          </cell>
          <cell r="I7">
            <v>8</v>
          </cell>
          <cell r="J7">
            <v>8</v>
          </cell>
          <cell r="K7">
            <v>0</v>
          </cell>
          <cell r="L7">
            <v>8</v>
          </cell>
          <cell r="M7">
            <v>8</v>
          </cell>
          <cell r="N7">
            <v>8</v>
          </cell>
          <cell r="O7">
            <v>8</v>
          </cell>
          <cell r="P7">
            <v>0</v>
          </cell>
          <cell r="Q7">
            <v>8</v>
          </cell>
          <cell r="R7">
            <v>8</v>
          </cell>
          <cell r="S7">
            <v>8</v>
          </cell>
          <cell r="T7">
            <v>8</v>
          </cell>
          <cell r="U7">
            <v>8</v>
          </cell>
          <cell r="V7">
            <v>8</v>
          </cell>
          <cell r="W7">
            <v>8</v>
          </cell>
          <cell r="X7">
            <v>8</v>
          </cell>
          <cell r="Y7">
            <v>8</v>
          </cell>
          <cell r="Z7">
            <v>8</v>
          </cell>
          <cell r="AA7">
            <v>8</v>
          </cell>
          <cell r="AB7">
            <v>8</v>
          </cell>
          <cell r="AC7">
            <v>8</v>
          </cell>
          <cell r="AD7">
            <v>0</v>
          </cell>
          <cell r="AE7">
            <v>8</v>
          </cell>
          <cell r="AF7">
            <v>8</v>
          </cell>
          <cell r="AG7">
            <v>8</v>
          </cell>
          <cell r="AH7">
            <v>8</v>
          </cell>
          <cell r="AI7">
            <v>8</v>
          </cell>
          <cell r="AJ7">
            <v>28</v>
          </cell>
          <cell r="AK7">
            <v>2</v>
          </cell>
          <cell r="AL7">
            <v>26</v>
          </cell>
          <cell r="AM7">
            <v>1</v>
          </cell>
          <cell r="AN7">
            <v>9.625</v>
          </cell>
          <cell r="AO7">
            <v>77</v>
          </cell>
        </row>
        <row r="8">
          <cell r="B8">
            <v>10008</v>
          </cell>
          <cell r="C8" t="str">
            <v>K.AJEESH KUMAR</v>
          </cell>
          <cell r="D8" t="str">
            <v>M Shop</v>
          </cell>
          <cell r="E8">
            <v>8</v>
          </cell>
          <cell r="F8">
            <v>8</v>
          </cell>
          <cell r="G8">
            <v>8</v>
          </cell>
          <cell r="H8">
            <v>8</v>
          </cell>
          <cell r="I8">
            <v>0</v>
          </cell>
          <cell r="J8">
            <v>8</v>
          </cell>
          <cell r="K8">
            <v>8</v>
          </cell>
          <cell r="L8">
            <v>8</v>
          </cell>
          <cell r="M8">
            <v>8</v>
          </cell>
          <cell r="N8">
            <v>8</v>
          </cell>
          <cell r="O8">
            <v>8</v>
          </cell>
          <cell r="P8">
            <v>0</v>
          </cell>
          <cell r="Q8">
            <v>8</v>
          </cell>
          <cell r="R8">
            <v>8</v>
          </cell>
          <cell r="S8">
            <v>8</v>
          </cell>
          <cell r="T8">
            <v>8</v>
          </cell>
          <cell r="U8">
            <v>8</v>
          </cell>
          <cell r="V8">
            <v>8</v>
          </cell>
          <cell r="W8">
            <v>0</v>
          </cell>
          <cell r="X8">
            <v>8</v>
          </cell>
          <cell r="Y8">
            <v>8</v>
          </cell>
          <cell r="Z8">
            <v>8</v>
          </cell>
          <cell r="AA8">
            <v>8</v>
          </cell>
          <cell r="AB8">
            <v>8</v>
          </cell>
          <cell r="AC8">
            <v>8</v>
          </cell>
          <cell r="AD8">
            <v>0</v>
          </cell>
          <cell r="AE8">
            <v>8</v>
          </cell>
          <cell r="AF8">
            <v>8</v>
          </cell>
          <cell r="AG8">
            <v>0</v>
          </cell>
          <cell r="AH8">
            <v>0</v>
          </cell>
          <cell r="AI8">
            <v>8</v>
          </cell>
          <cell r="AJ8">
            <v>25</v>
          </cell>
          <cell r="AK8">
            <v>0</v>
          </cell>
          <cell r="AL8">
            <v>25</v>
          </cell>
          <cell r="AM8">
            <v>2</v>
          </cell>
          <cell r="AN8">
            <v>7.625</v>
          </cell>
          <cell r="AO8">
            <v>61</v>
          </cell>
        </row>
        <row r="9">
          <cell r="B9">
            <v>10009</v>
          </cell>
          <cell r="C9" t="str">
            <v>R.PIRAMANAYAGAM</v>
          </cell>
          <cell r="D9" t="str">
            <v>ASSEMBLY</v>
          </cell>
          <cell r="E9">
            <v>8</v>
          </cell>
          <cell r="F9">
            <v>8</v>
          </cell>
          <cell r="G9">
            <v>8</v>
          </cell>
          <cell r="H9">
            <v>0</v>
          </cell>
          <cell r="I9">
            <v>0</v>
          </cell>
          <cell r="J9">
            <v>8</v>
          </cell>
          <cell r="K9">
            <v>8</v>
          </cell>
          <cell r="L9">
            <v>8</v>
          </cell>
          <cell r="M9">
            <v>8</v>
          </cell>
          <cell r="N9">
            <v>8</v>
          </cell>
          <cell r="O9">
            <v>8</v>
          </cell>
          <cell r="P9">
            <v>0</v>
          </cell>
          <cell r="Q9">
            <v>8</v>
          </cell>
          <cell r="R9">
            <v>8</v>
          </cell>
          <cell r="S9">
            <v>8</v>
          </cell>
          <cell r="T9">
            <v>8</v>
          </cell>
          <cell r="U9">
            <v>8</v>
          </cell>
          <cell r="V9">
            <v>8</v>
          </cell>
          <cell r="W9">
            <v>0</v>
          </cell>
          <cell r="X9">
            <v>8</v>
          </cell>
          <cell r="Y9">
            <v>8</v>
          </cell>
          <cell r="Z9">
            <v>8</v>
          </cell>
          <cell r="AA9">
            <v>8</v>
          </cell>
          <cell r="AB9">
            <v>8</v>
          </cell>
          <cell r="AC9">
            <v>8</v>
          </cell>
          <cell r="AD9">
            <v>0</v>
          </cell>
          <cell r="AE9">
            <v>8</v>
          </cell>
          <cell r="AF9">
            <v>8</v>
          </cell>
          <cell r="AG9">
            <v>8</v>
          </cell>
          <cell r="AH9">
            <v>8</v>
          </cell>
          <cell r="AI9">
            <v>0</v>
          </cell>
          <cell r="AJ9">
            <v>25</v>
          </cell>
          <cell r="AK9">
            <v>0</v>
          </cell>
          <cell r="AL9">
            <v>25</v>
          </cell>
          <cell r="AM9">
            <v>2</v>
          </cell>
          <cell r="AN9">
            <v>6.1875</v>
          </cell>
          <cell r="AO9">
            <v>49.5</v>
          </cell>
        </row>
        <row r="10">
          <cell r="B10">
            <v>10011</v>
          </cell>
          <cell r="C10" t="str">
            <v>M.HEMACHANDRAPRABHU</v>
          </cell>
          <cell r="D10" t="str">
            <v>ASSEMBLY</v>
          </cell>
          <cell r="E10">
            <v>8</v>
          </cell>
          <cell r="F10">
            <v>8</v>
          </cell>
          <cell r="G10">
            <v>8</v>
          </cell>
          <cell r="H10">
            <v>8</v>
          </cell>
          <cell r="I10">
            <v>8</v>
          </cell>
          <cell r="J10">
            <v>8</v>
          </cell>
          <cell r="K10">
            <v>8</v>
          </cell>
          <cell r="L10">
            <v>0</v>
          </cell>
          <cell r="M10">
            <v>0</v>
          </cell>
          <cell r="N10">
            <v>0</v>
          </cell>
          <cell r="O10">
            <v>8</v>
          </cell>
          <cell r="P10">
            <v>8</v>
          </cell>
          <cell r="Q10">
            <v>8</v>
          </cell>
          <cell r="R10">
            <v>8</v>
          </cell>
          <cell r="S10">
            <v>8</v>
          </cell>
          <cell r="T10">
            <v>8</v>
          </cell>
          <cell r="U10">
            <v>8</v>
          </cell>
          <cell r="V10">
            <v>8</v>
          </cell>
          <cell r="W10">
            <v>8</v>
          </cell>
          <cell r="X10">
            <v>4</v>
          </cell>
          <cell r="Y10">
            <v>8</v>
          </cell>
          <cell r="Z10">
            <v>8</v>
          </cell>
          <cell r="AA10">
            <v>8</v>
          </cell>
          <cell r="AB10">
            <v>8</v>
          </cell>
          <cell r="AC10">
            <v>8</v>
          </cell>
          <cell r="AD10">
            <v>0</v>
          </cell>
          <cell r="AE10">
            <v>8</v>
          </cell>
          <cell r="AF10">
            <v>8</v>
          </cell>
          <cell r="AG10">
            <v>8</v>
          </cell>
          <cell r="AH10">
            <v>8</v>
          </cell>
          <cell r="AI10">
            <v>8</v>
          </cell>
          <cell r="AJ10">
            <v>26.5</v>
          </cell>
          <cell r="AK10">
            <v>3</v>
          </cell>
          <cell r="AL10">
            <v>23.5</v>
          </cell>
          <cell r="AM10">
            <v>3.5</v>
          </cell>
          <cell r="AN10">
            <v>10.1875</v>
          </cell>
          <cell r="AO10">
            <v>81.5</v>
          </cell>
        </row>
        <row r="11">
          <cell r="B11">
            <v>10012</v>
          </cell>
          <cell r="C11" t="str">
            <v>K.VADAMALAI</v>
          </cell>
          <cell r="D11" t="str">
            <v>FABRICATION</v>
          </cell>
          <cell r="E11">
            <v>8</v>
          </cell>
          <cell r="F11">
            <v>8</v>
          </cell>
          <cell r="G11">
            <v>8</v>
          </cell>
          <cell r="H11">
            <v>8</v>
          </cell>
          <cell r="I11">
            <v>0</v>
          </cell>
          <cell r="J11">
            <v>8</v>
          </cell>
          <cell r="K11">
            <v>8</v>
          </cell>
          <cell r="L11">
            <v>8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8</v>
          </cell>
          <cell r="T11">
            <v>8</v>
          </cell>
          <cell r="U11">
            <v>8</v>
          </cell>
          <cell r="V11">
            <v>8</v>
          </cell>
          <cell r="W11">
            <v>0</v>
          </cell>
          <cell r="X11">
            <v>8</v>
          </cell>
          <cell r="Y11">
            <v>8</v>
          </cell>
          <cell r="Z11">
            <v>8</v>
          </cell>
          <cell r="AA11">
            <v>8</v>
          </cell>
          <cell r="AB11">
            <v>8</v>
          </cell>
          <cell r="AC11">
            <v>8</v>
          </cell>
          <cell r="AD11">
            <v>0</v>
          </cell>
          <cell r="AE11">
            <v>8</v>
          </cell>
          <cell r="AF11">
            <v>8</v>
          </cell>
          <cell r="AG11">
            <v>8</v>
          </cell>
          <cell r="AH11">
            <v>8</v>
          </cell>
          <cell r="AI11">
            <v>8</v>
          </cell>
          <cell r="AJ11">
            <v>22</v>
          </cell>
          <cell r="AK11">
            <v>0</v>
          </cell>
          <cell r="AL11">
            <v>22</v>
          </cell>
          <cell r="AM11">
            <v>5</v>
          </cell>
          <cell r="AN11">
            <v>7.875</v>
          </cell>
          <cell r="AO11">
            <v>63</v>
          </cell>
        </row>
        <row r="12">
          <cell r="B12">
            <v>10013</v>
          </cell>
          <cell r="C12" t="str">
            <v xml:space="preserve">P.PANDIAN </v>
          </cell>
          <cell r="D12" t="str">
            <v>FABRICATION</v>
          </cell>
          <cell r="E12">
            <v>8</v>
          </cell>
          <cell r="F12">
            <v>8</v>
          </cell>
          <cell r="G12">
            <v>8</v>
          </cell>
          <cell r="H12">
            <v>8</v>
          </cell>
          <cell r="I12">
            <v>0</v>
          </cell>
          <cell r="J12">
            <v>8</v>
          </cell>
          <cell r="K12">
            <v>8</v>
          </cell>
          <cell r="L12">
            <v>4</v>
          </cell>
          <cell r="M12">
            <v>8</v>
          </cell>
          <cell r="N12">
            <v>8</v>
          </cell>
          <cell r="O12">
            <v>8</v>
          </cell>
          <cell r="P12">
            <v>0</v>
          </cell>
          <cell r="Q12">
            <v>8</v>
          </cell>
          <cell r="R12">
            <v>8</v>
          </cell>
          <cell r="S12">
            <v>8</v>
          </cell>
          <cell r="T12">
            <v>8</v>
          </cell>
          <cell r="U12">
            <v>0</v>
          </cell>
          <cell r="V12">
            <v>8</v>
          </cell>
          <cell r="W12">
            <v>0</v>
          </cell>
          <cell r="X12">
            <v>8</v>
          </cell>
          <cell r="Y12">
            <v>8</v>
          </cell>
          <cell r="Z12">
            <v>8</v>
          </cell>
          <cell r="AA12">
            <v>0</v>
          </cell>
          <cell r="AB12">
            <v>8</v>
          </cell>
          <cell r="AC12">
            <v>8</v>
          </cell>
          <cell r="AD12">
            <v>0</v>
          </cell>
          <cell r="AE12">
            <v>4</v>
          </cell>
          <cell r="AF12">
            <v>8</v>
          </cell>
          <cell r="AG12">
            <v>8</v>
          </cell>
          <cell r="AH12">
            <v>8</v>
          </cell>
          <cell r="AI12">
            <v>8</v>
          </cell>
          <cell r="AJ12">
            <v>24</v>
          </cell>
          <cell r="AK12">
            <v>0</v>
          </cell>
          <cell r="AL12">
            <v>24</v>
          </cell>
          <cell r="AM12">
            <v>3</v>
          </cell>
          <cell r="AN12">
            <v>8.5625</v>
          </cell>
          <cell r="AO12">
            <v>68.5</v>
          </cell>
        </row>
        <row r="13">
          <cell r="B13">
            <v>10014</v>
          </cell>
          <cell r="C13" t="str">
            <v>D.SIVAJI</v>
          </cell>
          <cell r="D13" t="str">
            <v>ASSEMBLY</v>
          </cell>
          <cell r="E13">
            <v>8</v>
          </cell>
          <cell r="F13">
            <v>8</v>
          </cell>
          <cell r="G13">
            <v>8</v>
          </cell>
          <cell r="H13">
            <v>8</v>
          </cell>
          <cell r="I13">
            <v>8</v>
          </cell>
          <cell r="J13">
            <v>8</v>
          </cell>
          <cell r="K13">
            <v>8</v>
          </cell>
          <cell r="L13">
            <v>0</v>
          </cell>
          <cell r="M13">
            <v>0</v>
          </cell>
          <cell r="N13">
            <v>8</v>
          </cell>
          <cell r="O13">
            <v>8</v>
          </cell>
          <cell r="P13">
            <v>8</v>
          </cell>
          <cell r="Q13">
            <v>8</v>
          </cell>
          <cell r="R13">
            <v>8</v>
          </cell>
          <cell r="S13">
            <v>8</v>
          </cell>
          <cell r="T13">
            <v>8</v>
          </cell>
          <cell r="U13">
            <v>8</v>
          </cell>
          <cell r="V13">
            <v>8</v>
          </cell>
          <cell r="W13">
            <v>8</v>
          </cell>
          <cell r="X13">
            <v>8</v>
          </cell>
          <cell r="Y13">
            <v>8</v>
          </cell>
          <cell r="Z13">
            <v>8</v>
          </cell>
          <cell r="AA13">
            <v>0</v>
          </cell>
          <cell r="AB13">
            <v>8</v>
          </cell>
          <cell r="AC13">
            <v>8</v>
          </cell>
          <cell r="AD13">
            <v>0</v>
          </cell>
          <cell r="AE13">
            <v>8</v>
          </cell>
          <cell r="AF13">
            <v>8</v>
          </cell>
          <cell r="AG13">
            <v>8</v>
          </cell>
          <cell r="AH13">
            <v>8</v>
          </cell>
          <cell r="AI13">
            <v>8</v>
          </cell>
          <cell r="AJ13">
            <v>27</v>
          </cell>
          <cell r="AK13">
            <v>3</v>
          </cell>
          <cell r="AL13">
            <v>24</v>
          </cell>
          <cell r="AM13">
            <v>3</v>
          </cell>
          <cell r="AN13">
            <v>9.5</v>
          </cell>
          <cell r="AO13">
            <v>76</v>
          </cell>
        </row>
        <row r="14">
          <cell r="B14">
            <v>10015</v>
          </cell>
          <cell r="C14" t="str">
            <v xml:space="preserve">T.RAMESH BABU </v>
          </cell>
          <cell r="D14" t="str">
            <v>FABRICATION</v>
          </cell>
          <cell r="E14">
            <v>8</v>
          </cell>
          <cell r="F14">
            <v>8</v>
          </cell>
          <cell r="G14">
            <v>8</v>
          </cell>
          <cell r="H14">
            <v>8</v>
          </cell>
          <cell r="I14">
            <v>0</v>
          </cell>
          <cell r="J14">
            <v>8</v>
          </cell>
          <cell r="K14">
            <v>0</v>
          </cell>
          <cell r="L14">
            <v>8</v>
          </cell>
          <cell r="M14">
            <v>8</v>
          </cell>
          <cell r="N14">
            <v>8</v>
          </cell>
          <cell r="O14">
            <v>8</v>
          </cell>
          <cell r="P14">
            <v>0</v>
          </cell>
          <cell r="Q14">
            <v>0</v>
          </cell>
          <cell r="R14">
            <v>8</v>
          </cell>
          <cell r="S14">
            <v>8</v>
          </cell>
          <cell r="T14">
            <v>8</v>
          </cell>
          <cell r="U14">
            <v>8</v>
          </cell>
          <cell r="V14">
            <v>8</v>
          </cell>
          <cell r="W14">
            <v>0</v>
          </cell>
          <cell r="X14">
            <v>8</v>
          </cell>
          <cell r="Y14">
            <v>8</v>
          </cell>
          <cell r="Z14">
            <v>8</v>
          </cell>
          <cell r="AA14">
            <v>8</v>
          </cell>
          <cell r="AB14">
            <v>8</v>
          </cell>
          <cell r="AC14">
            <v>8</v>
          </cell>
          <cell r="AD14">
            <v>0</v>
          </cell>
          <cell r="AE14">
            <v>8</v>
          </cell>
          <cell r="AF14">
            <v>8</v>
          </cell>
          <cell r="AG14">
            <v>8</v>
          </cell>
          <cell r="AH14">
            <v>8</v>
          </cell>
          <cell r="AI14">
            <v>0</v>
          </cell>
          <cell r="AJ14">
            <v>24</v>
          </cell>
          <cell r="AK14">
            <v>0</v>
          </cell>
          <cell r="AL14">
            <v>24</v>
          </cell>
          <cell r="AM14">
            <v>3</v>
          </cell>
          <cell r="AN14">
            <v>8.25</v>
          </cell>
          <cell r="AO14">
            <v>66</v>
          </cell>
        </row>
        <row r="15">
          <cell r="B15">
            <v>10016</v>
          </cell>
          <cell r="C15" t="str">
            <v>R.KRISHNAKUMAR</v>
          </cell>
          <cell r="D15" t="str">
            <v>FABRICATION</v>
          </cell>
          <cell r="E15">
            <v>8</v>
          </cell>
          <cell r="F15">
            <v>8</v>
          </cell>
          <cell r="G15">
            <v>8</v>
          </cell>
          <cell r="H15">
            <v>8</v>
          </cell>
          <cell r="I15">
            <v>0</v>
          </cell>
          <cell r="J15">
            <v>8</v>
          </cell>
          <cell r="K15">
            <v>8</v>
          </cell>
          <cell r="L15">
            <v>8</v>
          </cell>
          <cell r="M15">
            <v>8</v>
          </cell>
          <cell r="N15">
            <v>8</v>
          </cell>
          <cell r="O15">
            <v>8</v>
          </cell>
          <cell r="P15">
            <v>0</v>
          </cell>
          <cell r="Q15">
            <v>8</v>
          </cell>
          <cell r="R15">
            <v>0</v>
          </cell>
          <cell r="S15">
            <v>8</v>
          </cell>
          <cell r="T15">
            <v>8</v>
          </cell>
          <cell r="U15">
            <v>8</v>
          </cell>
          <cell r="V15">
            <v>8</v>
          </cell>
          <cell r="W15">
            <v>0</v>
          </cell>
          <cell r="X15">
            <v>8</v>
          </cell>
          <cell r="Y15">
            <v>8</v>
          </cell>
          <cell r="Z15">
            <v>8</v>
          </cell>
          <cell r="AA15">
            <v>8</v>
          </cell>
          <cell r="AB15">
            <v>8</v>
          </cell>
          <cell r="AC15">
            <v>8</v>
          </cell>
          <cell r="AD15">
            <v>0</v>
          </cell>
          <cell r="AE15">
            <v>8</v>
          </cell>
          <cell r="AF15">
            <v>8</v>
          </cell>
          <cell r="AG15">
            <v>0</v>
          </cell>
          <cell r="AH15">
            <v>0</v>
          </cell>
          <cell r="AI15">
            <v>8</v>
          </cell>
          <cell r="AJ15">
            <v>24</v>
          </cell>
          <cell r="AK15">
            <v>0</v>
          </cell>
          <cell r="AL15">
            <v>24</v>
          </cell>
          <cell r="AM15">
            <v>3</v>
          </cell>
          <cell r="AN15">
            <v>6</v>
          </cell>
          <cell r="AO15">
            <v>48</v>
          </cell>
        </row>
        <row r="16">
          <cell r="B16">
            <v>10017</v>
          </cell>
          <cell r="C16" t="str">
            <v>K.KANNUSAMY</v>
          </cell>
          <cell r="D16" t="str">
            <v>ASSEMBLY</v>
          </cell>
          <cell r="E16">
            <v>8</v>
          </cell>
          <cell r="F16">
            <v>8</v>
          </cell>
          <cell r="G16">
            <v>8</v>
          </cell>
          <cell r="H16">
            <v>8</v>
          </cell>
          <cell r="I16">
            <v>8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  <cell r="W16">
            <v>8</v>
          </cell>
          <cell r="X16">
            <v>8</v>
          </cell>
          <cell r="Y16">
            <v>8</v>
          </cell>
          <cell r="Z16">
            <v>8</v>
          </cell>
          <cell r="AA16">
            <v>8</v>
          </cell>
          <cell r="AB16">
            <v>0</v>
          </cell>
          <cell r="AC16">
            <v>0</v>
          </cell>
          <cell r="AD16">
            <v>0</v>
          </cell>
          <cell r="AE16">
            <v>8</v>
          </cell>
          <cell r="AF16">
            <v>8</v>
          </cell>
          <cell r="AG16">
            <v>8</v>
          </cell>
          <cell r="AH16">
            <v>8</v>
          </cell>
          <cell r="AI16">
            <v>8</v>
          </cell>
          <cell r="AJ16">
            <v>28</v>
          </cell>
          <cell r="AK16">
            <v>3</v>
          </cell>
          <cell r="AL16">
            <v>25</v>
          </cell>
          <cell r="AM16">
            <v>2</v>
          </cell>
          <cell r="AN16">
            <v>10.25</v>
          </cell>
          <cell r="AO16">
            <v>82</v>
          </cell>
        </row>
        <row r="17">
          <cell r="B17">
            <v>10018</v>
          </cell>
          <cell r="C17" t="str">
            <v>K.VIJAYAN</v>
          </cell>
          <cell r="D17" t="str">
            <v>FABRICATION</v>
          </cell>
          <cell r="E17">
            <v>8</v>
          </cell>
          <cell r="F17">
            <v>0</v>
          </cell>
          <cell r="G17">
            <v>8</v>
          </cell>
          <cell r="H17">
            <v>8</v>
          </cell>
          <cell r="I17">
            <v>0</v>
          </cell>
          <cell r="J17">
            <v>8</v>
          </cell>
          <cell r="K17">
            <v>8</v>
          </cell>
          <cell r="L17">
            <v>8</v>
          </cell>
          <cell r="M17">
            <v>0</v>
          </cell>
          <cell r="N17">
            <v>8</v>
          </cell>
          <cell r="O17">
            <v>8</v>
          </cell>
          <cell r="P17">
            <v>0</v>
          </cell>
          <cell r="Q17">
            <v>8</v>
          </cell>
          <cell r="R17">
            <v>8</v>
          </cell>
          <cell r="S17">
            <v>8</v>
          </cell>
          <cell r="T17">
            <v>8</v>
          </cell>
          <cell r="U17">
            <v>0</v>
          </cell>
          <cell r="V17">
            <v>8</v>
          </cell>
          <cell r="W17">
            <v>0</v>
          </cell>
          <cell r="X17">
            <v>8</v>
          </cell>
          <cell r="Y17">
            <v>8</v>
          </cell>
          <cell r="Z17">
            <v>8</v>
          </cell>
          <cell r="AA17">
            <v>8</v>
          </cell>
          <cell r="AB17">
            <v>8</v>
          </cell>
          <cell r="AC17">
            <v>8</v>
          </cell>
          <cell r="AD17">
            <v>0</v>
          </cell>
          <cell r="AE17">
            <v>8</v>
          </cell>
          <cell r="AF17">
            <v>8</v>
          </cell>
          <cell r="AG17">
            <v>8</v>
          </cell>
          <cell r="AH17">
            <v>8</v>
          </cell>
          <cell r="AI17">
            <v>8</v>
          </cell>
          <cell r="AJ17">
            <v>24</v>
          </cell>
          <cell r="AK17">
            <v>0</v>
          </cell>
          <cell r="AL17">
            <v>24</v>
          </cell>
          <cell r="AM17">
            <v>3</v>
          </cell>
          <cell r="AN17">
            <v>7.75</v>
          </cell>
          <cell r="AO17">
            <v>62</v>
          </cell>
        </row>
        <row r="18">
          <cell r="B18">
            <v>10020</v>
          </cell>
          <cell r="C18" t="str">
            <v>L.MAYANDI</v>
          </cell>
          <cell r="D18" t="str">
            <v>ASSEMBLY</v>
          </cell>
          <cell r="E18">
            <v>8</v>
          </cell>
          <cell r="F18">
            <v>8</v>
          </cell>
          <cell r="G18">
            <v>8</v>
          </cell>
          <cell r="H18">
            <v>8</v>
          </cell>
          <cell r="I18">
            <v>8</v>
          </cell>
          <cell r="J18">
            <v>8</v>
          </cell>
          <cell r="K18">
            <v>8</v>
          </cell>
          <cell r="L18">
            <v>8</v>
          </cell>
          <cell r="M18">
            <v>8</v>
          </cell>
          <cell r="N18">
            <v>8</v>
          </cell>
          <cell r="O18">
            <v>8</v>
          </cell>
          <cell r="P18">
            <v>0</v>
          </cell>
          <cell r="Q18">
            <v>8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8</v>
          </cell>
          <cell r="AJ18">
            <v>13</v>
          </cell>
          <cell r="AK18">
            <v>1</v>
          </cell>
          <cell r="AL18">
            <v>12</v>
          </cell>
          <cell r="AM18">
            <v>15</v>
          </cell>
          <cell r="AN18">
            <v>5.6875</v>
          </cell>
          <cell r="AO18">
            <v>45.5</v>
          </cell>
        </row>
        <row r="19">
          <cell r="B19">
            <v>10021</v>
          </cell>
          <cell r="C19" t="str">
            <v>N.MUTHUGANESH BHARATHI</v>
          </cell>
          <cell r="D19" t="str">
            <v>M Shop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8</v>
          </cell>
          <cell r="O19">
            <v>8</v>
          </cell>
          <cell r="P19">
            <v>0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  <cell r="W19">
            <v>0</v>
          </cell>
          <cell r="X19">
            <v>8</v>
          </cell>
          <cell r="Y19">
            <v>8</v>
          </cell>
          <cell r="Z19">
            <v>8</v>
          </cell>
          <cell r="AA19">
            <v>8</v>
          </cell>
          <cell r="AB19">
            <v>8</v>
          </cell>
          <cell r="AC19">
            <v>8</v>
          </cell>
          <cell r="AD19">
            <v>8</v>
          </cell>
          <cell r="AE19">
            <v>8</v>
          </cell>
          <cell r="AF19">
            <v>8</v>
          </cell>
          <cell r="AG19">
            <v>8</v>
          </cell>
          <cell r="AH19">
            <v>8</v>
          </cell>
          <cell r="AI19">
            <v>8</v>
          </cell>
          <cell r="AJ19">
            <v>20</v>
          </cell>
          <cell r="AK19">
            <v>1</v>
          </cell>
          <cell r="AL19">
            <v>19</v>
          </cell>
          <cell r="AM19">
            <v>8</v>
          </cell>
          <cell r="AN19">
            <v>9.0625</v>
          </cell>
          <cell r="AO19">
            <v>72.5</v>
          </cell>
        </row>
        <row r="20">
          <cell r="B20">
            <v>10022</v>
          </cell>
          <cell r="C20" t="str">
            <v>S.MURUGESAN</v>
          </cell>
          <cell r="D20" t="str">
            <v>ELECTRICAL</v>
          </cell>
          <cell r="E20">
            <v>8</v>
          </cell>
          <cell r="F20">
            <v>8</v>
          </cell>
          <cell r="G20">
            <v>0</v>
          </cell>
          <cell r="H20">
            <v>8</v>
          </cell>
          <cell r="I20">
            <v>0</v>
          </cell>
          <cell r="J20">
            <v>8</v>
          </cell>
          <cell r="K20">
            <v>8</v>
          </cell>
          <cell r="L20">
            <v>0</v>
          </cell>
          <cell r="M20">
            <v>8</v>
          </cell>
          <cell r="N20">
            <v>8</v>
          </cell>
          <cell r="O20">
            <v>8</v>
          </cell>
          <cell r="P20">
            <v>0</v>
          </cell>
          <cell r="Q20">
            <v>8</v>
          </cell>
          <cell r="R20">
            <v>8</v>
          </cell>
          <cell r="S20">
            <v>8</v>
          </cell>
          <cell r="T20">
            <v>8</v>
          </cell>
          <cell r="U20">
            <v>8</v>
          </cell>
          <cell r="V20">
            <v>8</v>
          </cell>
          <cell r="W20">
            <v>0</v>
          </cell>
          <cell r="X20">
            <v>8</v>
          </cell>
          <cell r="Y20">
            <v>8</v>
          </cell>
          <cell r="Z20">
            <v>8</v>
          </cell>
          <cell r="AA20">
            <v>8</v>
          </cell>
          <cell r="AB20">
            <v>8</v>
          </cell>
          <cell r="AC20">
            <v>8</v>
          </cell>
          <cell r="AD20">
            <v>0</v>
          </cell>
          <cell r="AE20">
            <v>8</v>
          </cell>
          <cell r="AF20">
            <v>8</v>
          </cell>
          <cell r="AG20">
            <v>8</v>
          </cell>
          <cell r="AH20">
            <v>8</v>
          </cell>
          <cell r="AI20">
            <v>8</v>
          </cell>
          <cell r="AJ20">
            <v>25</v>
          </cell>
          <cell r="AK20">
            <v>0</v>
          </cell>
          <cell r="AL20">
            <v>25</v>
          </cell>
          <cell r="AM20">
            <v>2</v>
          </cell>
          <cell r="AN20">
            <v>6.625</v>
          </cell>
          <cell r="AO20">
            <v>53</v>
          </cell>
        </row>
        <row r="21">
          <cell r="B21">
            <v>10024</v>
          </cell>
          <cell r="C21" t="str">
            <v>M.NAGARAJ</v>
          </cell>
          <cell r="D21" t="str">
            <v>FABRICATION</v>
          </cell>
          <cell r="E21">
            <v>8</v>
          </cell>
          <cell r="F21">
            <v>8</v>
          </cell>
          <cell r="G21">
            <v>8</v>
          </cell>
          <cell r="H21">
            <v>8</v>
          </cell>
          <cell r="I21">
            <v>0</v>
          </cell>
          <cell r="J21">
            <v>8</v>
          </cell>
          <cell r="K21">
            <v>8</v>
          </cell>
          <cell r="L21">
            <v>8</v>
          </cell>
          <cell r="M21">
            <v>8</v>
          </cell>
          <cell r="N21">
            <v>8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  <cell r="W21">
            <v>0</v>
          </cell>
          <cell r="X21">
            <v>8</v>
          </cell>
          <cell r="Y21">
            <v>8</v>
          </cell>
          <cell r="Z21">
            <v>0</v>
          </cell>
          <cell r="AA21">
            <v>0</v>
          </cell>
          <cell r="AB21">
            <v>8</v>
          </cell>
          <cell r="AC21">
            <v>8</v>
          </cell>
          <cell r="AD21">
            <v>4</v>
          </cell>
          <cell r="AE21">
            <v>8</v>
          </cell>
          <cell r="AF21">
            <v>8</v>
          </cell>
          <cell r="AG21">
            <v>8</v>
          </cell>
          <cell r="AH21">
            <v>8</v>
          </cell>
          <cell r="AI21">
            <v>8</v>
          </cell>
          <cell r="AJ21">
            <v>22.5</v>
          </cell>
          <cell r="AK21">
            <v>0.5</v>
          </cell>
          <cell r="AL21">
            <v>22</v>
          </cell>
          <cell r="AM21">
            <v>5</v>
          </cell>
          <cell r="AN21">
            <v>7.8125</v>
          </cell>
          <cell r="AO21">
            <v>62.5</v>
          </cell>
        </row>
        <row r="22">
          <cell r="B22">
            <v>10025</v>
          </cell>
          <cell r="C22" t="str">
            <v>N.SUBRAMANI</v>
          </cell>
          <cell r="D22" t="str">
            <v>M Shop</v>
          </cell>
          <cell r="E22">
            <v>8</v>
          </cell>
          <cell r="F22">
            <v>8</v>
          </cell>
          <cell r="G22">
            <v>8</v>
          </cell>
          <cell r="H22">
            <v>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8</v>
          </cell>
          <cell r="AC22">
            <v>8</v>
          </cell>
          <cell r="AD22">
            <v>8</v>
          </cell>
          <cell r="AE22">
            <v>0</v>
          </cell>
          <cell r="AF22">
            <v>0</v>
          </cell>
          <cell r="AG22">
            <v>8</v>
          </cell>
          <cell r="AH22">
            <v>0</v>
          </cell>
          <cell r="AI22">
            <v>8</v>
          </cell>
          <cell r="AJ22">
            <v>9</v>
          </cell>
          <cell r="AK22">
            <v>1</v>
          </cell>
          <cell r="AL22">
            <v>8</v>
          </cell>
          <cell r="AM22">
            <v>19</v>
          </cell>
          <cell r="AN22">
            <v>1.8125</v>
          </cell>
          <cell r="AO22">
            <v>14.5</v>
          </cell>
        </row>
        <row r="23">
          <cell r="B23">
            <v>10026</v>
          </cell>
          <cell r="C23" t="str">
            <v>R.THIRUNAVUKARASU</v>
          </cell>
          <cell r="D23" t="str">
            <v>M Shop</v>
          </cell>
          <cell r="E23">
            <v>8</v>
          </cell>
          <cell r="F23">
            <v>8</v>
          </cell>
          <cell r="G23">
            <v>0</v>
          </cell>
          <cell r="H23">
            <v>8</v>
          </cell>
          <cell r="I23">
            <v>8</v>
          </cell>
          <cell r="J23">
            <v>8</v>
          </cell>
          <cell r="K23">
            <v>8</v>
          </cell>
          <cell r="L23">
            <v>8</v>
          </cell>
          <cell r="M23">
            <v>8</v>
          </cell>
          <cell r="N23">
            <v>8</v>
          </cell>
          <cell r="O23">
            <v>0</v>
          </cell>
          <cell r="P23">
            <v>8</v>
          </cell>
          <cell r="Q23">
            <v>0</v>
          </cell>
          <cell r="R23">
            <v>8</v>
          </cell>
          <cell r="S23">
            <v>8</v>
          </cell>
          <cell r="T23">
            <v>8</v>
          </cell>
          <cell r="U23">
            <v>8</v>
          </cell>
          <cell r="V23">
            <v>8</v>
          </cell>
          <cell r="W23">
            <v>0</v>
          </cell>
          <cell r="X23">
            <v>8</v>
          </cell>
          <cell r="Y23">
            <v>8</v>
          </cell>
          <cell r="Z23">
            <v>8</v>
          </cell>
          <cell r="AA23">
            <v>8</v>
          </cell>
          <cell r="AB23">
            <v>8</v>
          </cell>
          <cell r="AC23">
            <v>8</v>
          </cell>
          <cell r="AD23">
            <v>0</v>
          </cell>
          <cell r="AE23">
            <v>8</v>
          </cell>
          <cell r="AF23">
            <v>8</v>
          </cell>
          <cell r="AG23">
            <v>8</v>
          </cell>
          <cell r="AH23">
            <v>8</v>
          </cell>
          <cell r="AI23">
            <v>8</v>
          </cell>
          <cell r="AJ23">
            <v>26</v>
          </cell>
          <cell r="AK23">
            <v>2</v>
          </cell>
          <cell r="AL23">
            <v>24</v>
          </cell>
          <cell r="AM23">
            <v>3</v>
          </cell>
          <cell r="AN23">
            <v>8.125</v>
          </cell>
          <cell r="AO23">
            <v>65</v>
          </cell>
        </row>
        <row r="24">
          <cell r="B24">
            <v>10027</v>
          </cell>
          <cell r="C24" t="str">
            <v>C.DURAIMURUGAN</v>
          </cell>
          <cell r="D24" t="str">
            <v>M Shop</v>
          </cell>
          <cell r="E24">
            <v>0</v>
          </cell>
          <cell r="F24">
            <v>8</v>
          </cell>
          <cell r="G24">
            <v>8</v>
          </cell>
          <cell r="H24">
            <v>8</v>
          </cell>
          <cell r="I24">
            <v>0</v>
          </cell>
          <cell r="J24">
            <v>8</v>
          </cell>
          <cell r="K24">
            <v>8</v>
          </cell>
          <cell r="L24">
            <v>8</v>
          </cell>
          <cell r="M24">
            <v>8</v>
          </cell>
          <cell r="N24">
            <v>8</v>
          </cell>
          <cell r="O24">
            <v>8</v>
          </cell>
          <cell r="P24">
            <v>8</v>
          </cell>
          <cell r="Q24">
            <v>8</v>
          </cell>
          <cell r="R24">
            <v>8</v>
          </cell>
          <cell r="S24">
            <v>8</v>
          </cell>
          <cell r="T24">
            <v>8</v>
          </cell>
          <cell r="U24">
            <v>8</v>
          </cell>
          <cell r="V24">
            <v>8</v>
          </cell>
          <cell r="W24">
            <v>0</v>
          </cell>
          <cell r="X24">
            <v>8</v>
          </cell>
          <cell r="Y24">
            <v>8</v>
          </cell>
          <cell r="Z24">
            <v>8</v>
          </cell>
          <cell r="AA24">
            <v>8</v>
          </cell>
          <cell r="AB24">
            <v>8</v>
          </cell>
          <cell r="AC24">
            <v>8</v>
          </cell>
          <cell r="AD24">
            <v>8</v>
          </cell>
          <cell r="AE24">
            <v>8</v>
          </cell>
          <cell r="AF24">
            <v>8</v>
          </cell>
          <cell r="AG24">
            <v>0</v>
          </cell>
          <cell r="AH24">
            <v>8</v>
          </cell>
          <cell r="AI24">
            <v>8</v>
          </cell>
          <cell r="AJ24">
            <v>27</v>
          </cell>
          <cell r="AK24">
            <v>2</v>
          </cell>
          <cell r="AL24">
            <v>25</v>
          </cell>
          <cell r="AM24">
            <v>2</v>
          </cell>
          <cell r="AN24">
            <v>12.75</v>
          </cell>
          <cell r="AO24">
            <v>102</v>
          </cell>
        </row>
        <row r="25">
          <cell r="B25">
            <v>10028</v>
          </cell>
          <cell r="C25" t="str">
            <v>R.SHANKAR</v>
          </cell>
          <cell r="D25" t="str">
            <v>M Shop</v>
          </cell>
          <cell r="E25">
            <v>8</v>
          </cell>
          <cell r="F25">
            <v>8</v>
          </cell>
          <cell r="G25">
            <v>8</v>
          </cell>
          <cell r="H25">
            <v>0</v>
          </cell>
          <cell r="I25">
            <v>0</v>
          </cell>
          <cell r="J25">
            <v>8</v>
          </cell>
          <cell r="K25">
            <v>8</v>
          </cell>
          <cell r="L25">
            <v>8</v>
          </cell>
          <cell r="M25">
            <v>8</v>
          </cell>
          <cell r="N25">
            <v>8</v>
          </cell>
          <cell r="O25">
            <v>8</v>
          </cell>
          <cell r="P25">
            <v>0</v>
          </cell>
          <cell r="Q25">
            <v>8</v>
          </cell>
          <cell r="R25">
            <v>8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0</v>
          </cell>
          <cell r="X25">
            <v>8</v>
          </cell>
          <cell r="Y25">
            <v>8</v>
          </cell>
          <cell r="Z25">
            <v>8</v>
          </cell>
          <cell r="AA25">
            <v>8</v>
          </cell>
          <cell r="AB25">
            <v>8</v>
          </cell>
          <cell r="AC25">
            <v>8</v>
          </cell>
          <cell r="AD25">
            <v>0</v>
          </cell>
          <cell r="AE25">
            <v>8</v>
          </cell>
          <cell r="AF25">
            <v>8</v>
          </cell>
          <cell r="AG25">
            <v>8</v>
          </cell>
          <cell r="AH25">
            <v>8</v>
          </cell>
          <cell r="AI25">
            <v>8</v>
          </cell>
          <cell r="AJ25">
            <v>26</v>
          </cell>
          <cell r="AK25">
            <v>0</v>
          </cell>
          <cell r="AL25">
            <v>26</v>
          </cell>
          <cell r="AM25">
            <v>1</v>
          </cell>
          <cell r="AN25">
            <v>9.75</v>
          </cell>
          <cell r="AO25">
            <v>78</v>
          </cell>
        </row>
        <row r="26">
          <cell r="B26">
            <v>10029</v>
          </cell>
          <cell r="C26" t="str">
            <v>B.MANIYARASU</v>
          </cell>
          <cell r="D26" t="str">
            <v>M Shop</v>
          </cell>
          <cell r="E26">
            <v>0</v>
          </cell>
          <cell r="F26">
            <v>8</v>
          </cell>
          <cell r="G26">
            <v>8</v>
          </cell>
          <cell r="H26">
            <v>8</v>
          </cell>
          <cell r="I26">
            <v>8</v>
          </cell>
          <cell r="J26">
            <v>8</v>
          </cell>
          <cell r="K26">
            <v>8</v>
          </cell>
          <cell r="L26">
            <v>8</v>
          </cell>
          <cell r="M26">
            <v>8</v>
          </cell>
          <cell r="N26">
            <v>8</v>
          </cell>
          <cell r="O26">
            <v>8</v>
          </cell>
          <cell r="P26">
            <v>0</v>
          </cell>
          <cell r="Q26">
            <v>0</v>
          </cell>
          <cell r="R26">
            <v>8</v>
          </cell>
          <cell r="S26">
            <v>8</v>
          </cell>
          <cell r="T26">
            <v>8</v>
          </cell>
          <cell r="U26">
            <v>8</v>
          </cell>
          <cell r="V26">
            <v>4</v>
          </cell>
          <cell r="W26">
            <v>0</v>
          </cell>
          <cell r="X26">
            <v>0</v>
          </cell>
          <cell r="Y26">
            <v>0</v>
          </cell>
          <cell r="Z26">
            <v>8</v>
          </cell>
          <cell r="AA26">
            <v>8</v>
          </cell>
          <cell r="AB26">
            <v>8</v>
          </cell>
          <cell r="AC26">
            <v>8</v>
          </cell>
          <cell r="AD26">
            <v>0</v>
          </cell>
          <cell r="AE26">
            <v>8</v>
          </cell>
          <cell r="AF26">
            <v>8</v>
          </cell>
          <cell r="AG26">
            <v>8</v>
          </cell>
          <cell r="AH26">
            <v>8</v>
          </cell>
          <cell r="AI26">
            <v>8</v>
          </cell>
          <cell r="AJ26">
            <v>23.5</v>
          </cell>
          <cell r="AK26">
            <v>1</v>
          </cell>
          <cell r="AL26">
            <v>22.5</v>
          </cell>
          <cell r="AM26">
            <v>4.5</v>
          </cell>
          <cell r="AN26">
            <v>6.3125</v>
          </cell>
          <cell r="AO26">
            <v>50.5</v>
          </cell>
        </row>
        <row r="27">
          <cell r="B27">
            <v>10030</v>
          </cell>
          <cell r="C27" t="str">
            <v xml:space="preserve">V.VETRIVELAN </v>
          </cell>
          <cell r="D27" t="str">
            <v>ASSEMBLY</v>
          </cell>
          <cell r="E27">
            <v>8</v>
          </cell>
          <cell r="F27">
            <v>8</v>
          </cell>
          <cell r="G27">
            <v>8</v>
          </cell>
          <cell r="H27">
            <v>8</v>
          </cell>
          <cell r="I27">
            <v>8</v>
          </cell>
          <cell r="J27">
            <v>8</v>
          </cell>
          <cell r="K27">
            <v>8</v>
          </cell>
          <cell r="L27">
            <v>4</v>
          </cell>
          <cell r="M27">
            <v>8</v>
          </cell>
          <cell r="N27">
            <v>8</v>
          </cell>
          <cell r="O27">
            <v>8</v>
          </cell>
          <cell r="P27">
            <v>8</v>
          </cell>
          <cell r="Q27">
            <v>8</v>
          </cell>
          <cell r="R27">
            <v>4</v>
          </cell>
          <cell r="S27">
            <v>0</v>
          </cell>
          <cell r="T27">
            <v>8</v>
          </cell>
          <cell r="U27">
            <v>8</v>
          </cell>
          <cell r="V27">
            <v>8</v>
          </cell>
          <cell r="W27">
            <v>8</v>
          </cell>
          <cell r="X27">
            <v>8</v>
          </cell>
          <cell r="Y27">
            <v>8</v>
          </cell>
          <cell r="Z27">
            <v>8</v>
          </cell>
          <cell r="AA27">
            <v>8</v>
          </cell>
          <cell r="AB27">
            <v>8</v>
          </cell>
          <cell r="AC27">
            <v>8</v>
          </cell>
          <cell r="AD27">
            <v>0</v>
          </cell>
          <cell r="AE27">
            <v>0</v>
          </cell>
          <cell r="AF27">
            <v>8</v>
          </cell>
          <cell r="AG27">
            <v>8</v>
          </cell>
          <cell r="AH27">
            <v>8</v>
          </cell>
          <cell r="AI27">
            <v>8</v>
          </cell>
          <cell r="AJ27">
            <v>27</v>
          </cell>
          <cell r="AK27">
            <v>3</v>
          </cell>
          <cell r="AL27">
            <v>24</v>
          </cell>
          <cell r="AM27">
            <v>3</v>
          </cell>
          <cell r="AN27">
            <v>11.125</v>
          </cell>
          <cell r="AO27">
            <v>89</v>
          </cell>
        </row>
        <row r="28">
          <cell r="B28">
            <v>10031</v>
          </cell>
          <cell r="C28" t="str">
            <v>S.ARUN</v>
          </cell>
          <cell r="D28" t="str">
            <v>M Shop</v>
          </cell>
          <cell r="E28">
            <v>8</v>
          </cell>
          <cell r="F28">
            <v>8</v>
          </cell>
          <cell r="G28">
            <v>8</v>
          </cell>
          <cell r="H28">
            <v>8</v>
          </cell>
          <cell r="I28">
            <v>0</v>
          </cell>
          <cell r="J28">
            <v>8</v>
          </cell>
          <cell r="K28">
            <v>8</v>
          </cell>
          <cell r="L28">
            <v>8</v>
          </cell>
          <cell r="M28">
            <v>4</v>
          </cell>
          <cell r="N28">
            <v>0</v>
          </cell>
          <cell r="O28">
            <v>0</v>
          </cell>
          <cell r="P28">
            <v>0</v>
          </cell>
          <cell r="Q28">
            <v>8</v>
          </cell>
          <cell r="R28">
            <v>8</v>
          </cell>
          <cell r="S28">
            <v>8</v>
          </cell>
          <cell r="T28">
            <v>8</v>
          </cell>
          <cell r="U28">
            <v>8</v>
          </cell>
          <cell r="V28">
            <v>8</v>
          </cell>
          <cell r="W28">
            <v>0</v>
          </cell>
          <cell r="X28">
            <v>8</v>
          </cell>
          <cell r="Y28">
            <v>8</v>
          </cell>
          <cell r="Z28">
            <v>8</v>
          </cell>
          <cell r="AA28">
            <v>8</v>
          </cell>
          <cell r="AB28">
            <v>8</v>
          </cell>
          <cell r="AC28">
            <v>0</v>
          </cell>
          <cell r="AD28">
            <v>0</v>
          </cell>
          <cell r="AE28">
            <v>8</v>
          </cell>
          <cell r="AF28">
            <v>8</v>
          </cell>
          <cell r="AG28">
            <v>8</v>
          </cell>
          <cell r="AH28">
            <v>8</v>
          </cell>
          <cell r="AI28">
            <v>8</v>
          </cell>
          <cell r="AJ28">
            <v>23.5</v>
          </cell>
          <cell r="AK28">
            <v>0</v>
          </cell>
          <cell r="AL28">
            <v>23.5</v>
          </cell>
          <cell r="AM28">
            <v>3.5</v>
          </cell>
          <cell r="AN28">
            <v>14.4375</v>
          </cell>
          <cell r="AO28">
            <v>115.5</v>
          </cell>
        </row>
        <row r="29">
          <cell r="B29">
            <v>10032</v>
          </cell>
          <cell r="C29" t="str">
            <v>S.SURESH</v>
          </cell>
          <cell r="D29" t="str">
            <v>M Shop</v>
          </cell>
          <cell r="E29">
            <v>8</v>
          </cell>
          <cell r="F29">
            <v>0</v>
          </cell>
          <cell r="G29">
            <v>0</v>
          </cell>
          <cell r="H29">
            <v>8</v>
          </cell>
          <cell r="I29">
            <v>8</v>
          </cell>
          <cell r="J29">
            <v>8</v>
          </cell>
          <cell r="K29">
            <v>8</v>
          </cell>
          <cell r="L29">
            <v>8</v>
          </cell>
          <cell r="M29">
            <v>8</v>
          </cell>
          <cell r="N29">
            <v>8</v>
          </cell>
          <cell r="O29">
            <v>8</v>
          </cell>
          <cell r="P29">
            <v>8</v>
          </cell>
          <cell r="Q29">
            <v>0</v>
          </cell>
          <cell r="R29">
            <v>8</v>
          </cell>
          <cell r="S29">
            <v>8</v>
          </cell>
          <cell r="T29">
            <v>8</v>
          </cell>
          <cell r="U29">
            <v>8</v>
          </cell>
          <cell r="V29">
            <v>8</v>
          </cell>
          <cell r="W29">
            <v>8</v>
          </cell>
          <cell r="X29">
            <v>8</v>
          </cell>
          <cell r="Y29">
            <v>8</v>
          </cell>
          <cell r="Z29">
            <v>8</v>
          </cell>
          <cell r="AA29">
            <v>8</v>
          </cell>
          <cell r="AB29">
            <v>8</v>
          </cell>
          <cell r="AC29">
            <v>8</v>
          </cell>
          <cell r="AD29">
            <v>8</v>
          </cell>
          <cell r="AE29">
            <v>8</v>
          </cell>
          <cell r="AF29">
            <v>8</v>
          </cell>
          <cell r="AG29">
            <v>8</v>
          </cell>
          <cell r="AH29">
            <v>8</v>
          </cell>
          <cell r="AI29">
            <v>8</v>
          </cell>
          <cell r="AJ29">
            <v>28</v>
          </cell>
          <cell r="AK29">
            <v>4</v>
          </cell>
          <cell r="AL29">
            <v>24</v>
          </cell>
          <cell r="AM29">
            <v>3</v>
          </cell>
          <cell r="AN29">
            <v>9.5625</v>
          </cell>
          <cell r="AO29">
            <v>76.5</v>
          </cell>
        </row>
        <row r="30">
          <cell r="B30">
            <v>10033</v>
          </cell>
          <cell r="C30" t="str">
            <v>M.VIGNESH</v>
          </cell>
          <cell r="D30" t="str">
            <v>ASSEMBLY</v>
          </cell>
          <cell r="E30">
            <v>8</v>
          </cell>
          <cell r="F30">
            <v>8</v>
          </cell>
          <cell r="G30">
            <v>8</v>
          </cell>
          <cell r="H30">
            <v>8</v>
          </cell>
          <cell r="I30">
            <v>0</v>
          </cell>
          <cell r="J30">
            <v>8</v>
          </cell>
          <cell r="K30">
            <v>8</v>
          </cell>
          <cell r="L30">
            <v>8</v>
          </cell>
          <cell r="M30">
            <v>0</v>
          </cell>
          <cell r="N30">
            <v>0</v>
          </cell>
          <cell r="O30">
            <v>8</v>
          </cell>
          <cell r="P30">
            <v>8</v>
          </cell>
          <cell r="Q30">
            <v>8</v>
          </cell>
          <cell r="R30">
            <v>8</v>
          </cell>
          <cell r="S30">
            <v>8</v>
          </cell>
          <cell r="T30">
            <v>8</v>
          </cell>
          <cell r="U30">
            <v>8</v>
          </cell>
          <cell r="V30">
            <v>8</v>
          </cell>
          <cell r="W30">
            <v>0</v>
          </cell>
          <cell r="X30">
            <v>8</v>
          </cell>
          <cell r="Y30">
            <v>8</v>
          </cell>
          <cell r="Z30">
            <v>8</v>
          </cell>
          <cell r="AA30">
            <v>4</v>
          </cell>
          <cell r="AB30">
            <v>8</v>
          </cell>
          <cell r="AC30">
            <v>8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20.5</v>
          </cell>
          <cell r="AK30">
            <v>1</v>
          </cell>
          <cell r="AL30">
            <v>19.5</v>
          </cell>
          <cell r="AM30">
            <v>7.5</v>
          </cell>
          <cell r="AN30">
            <v>7.5</v>
          </cell>
          <cell r="AO30">
            <v>60</v>
          </cell>
        </row>
        <row r="31">
          <cell r="B31">
            <v>10034</v>
          </cell>
          <cell r="C31" t="str">
            <v>A.THIVAKAR</v>
          </cell>
          <cell r="D31" t="str">
            <v>FABRICATION</v>
          </cell>
          <cell r="E31">
            <v>8</v>
          </cell>
          <cell r="F31">
            <v>8</v>
          </cell>
          <cell r="G31">
            <v>8</v>
          </cell>
          <cell r="H31">
            <v>4</v>
          </cell>
          <cell r="I31">
            <v>0</v>
          </cell>
          <cell r="J31">
            <v>0</v>
          </cell>
          <cell r="K31">
            <v>8</v>
          </cell>
          <cell r="L31">
            <v>8</v>
          </cell>
          <cell r="M31">
            <v>8</v>
          </cell>
          <cell r="N31">
            <v>8</v>
          </cell>
          <cell r="O31">
            <v>8</v>
          </cell>
          <cell r="P31">
            <v>0</v>
          </cell>
          <cell r="Q31">
            <v>8</v>
          </cell>
          <cell r="R31">
            <v>8</v>
          </cell>
          <cell r="S31">
            <v>8</v>
          </cell>
          <cell r="T31">
            <v>8</v>
          </cell>
          <cell r="U31">
            <v>8</v>
          </cell>
          <cell r="V31">
            <v>8</v>
          </cell>
          <cell r="W31">
            <v>0</v>
          </cell>
          <cell r="X31">
            <v>8</v>
          </cell>
          <cell r="Y31">
            <v>8</v>
          </cell>
          <cell r="Z31">
            <v>8</v>
          </cell>
          <cell r="AA31">
            <v>8</v>
          </cell>
          <cell r="AB31">
            <v>8</v>
          </cell>
          <cell r="AC31">
            <v>0</v>
          </cell>
          <cell r="AD31">
            <v>0</v>
          </cell>
          <cell r="AE31">
            <v>8</v>
          </cell>
          <cell r="AF31">
            <v>8</v>
          </cell>
          <cell r="AG31">
            <v>8</v>
          </cell>
          <cell r="AH31">
            <v>8</v>
          </cell>
          <cell r="AI31">
            <v>8</v>
          </cell>
          <cell r="AJ31">
            <v>24.5</v>
          </cell>
          <cell r="AK31">
            <v>0</v>
          </cell>
          <cell r="AL31">
            <v>24.5</v>
          </cell>
          <cell r="AM31">
            <v>2.5</v>
          </cell>
          <cell r="AN31">
            <v>8.75</v>
          </cell>
          <cell r="AO31">
            <v>70</v>
          </cell>
        </row>
        <row r="32">
          <cell r="B32">
            <v>10035</v>
          </cell>
          <cell r="C32" t="str">
            <v>M.SIVACHIDHAMBARAM</v>
          </cell>
          <cell r="D32" t="str">
            <v>FABRICATION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8</v>
          </cell>
          <cell r="K32">
            <v>8</v>
          </cell>
          <cell r="L32">
            <v>8</v>
          </cell>
          <cell r="M32">
            <v>8</v>
          </cell>
          <cell r="N32">
            <v>8</v>
          </cell>
          <cell r="O32">
            <v>0</v>
          </cell>
          <cell r="P32">
            <v>0</v>
          </cell>
          <cell r="Q32">
            <v>8</v>
          </cell>
          <cell r="R32">
            <v>8</v>
          </cell>
          <cell r="S32">
            <v>8</v>
          </cell>
          <cell r="T32">
            <v>8</v>
          </cell>
          <cell r="U32">
            <v>0</v>
          </cell>
          <cell r="V32">
            <v>8</v>
          </cell>
          <cell r="W32">
            <v>0</v>
          </cell>
          <cell r="X32">
            <v>8</v>
          </cell>
          <cell r="Y32">
            <v>8</v>
          </cell>
          <cell r="Z32">
            <v>8</v>
          </cell>
          <cell r="AA32">
            <v>8</v>
          </cell>
          <cell r="AB32">
            <v>8</v>
          </cell>
          <cell r="AC32">
            <v>8</v>
          </cell>
          <cell r="AD32">
            <v>0</v>
          </cell>
          <cell r="AE32">
            <v>8</v>
          </cell>
          <cell r="AF32">
            <v>8</v>
          </cell>
          <cell r="AG32">
            <v>8</v>
          </cell>
          <cell r="AH32">
            <v>8</v>
          </cell>
          <cell r="AI32">
            <v>8</v>
          </cell>
          <cell r="AJ32">
            <v>21</v>
          </cell>
          <cell r="AK32">
            <v>0</v>
          </cell>
          <cell r="AL32">
            <v>21</v>
          </cell>
          <cell r="AM32">
            <v>6</v>
          </cell>
          <cell r="AN32">
            <v>8.625</v>
          </cell>
          <cell r="AO32">
            <v>69</v>
          </cell>
        </row>
        <row r="33">
          <cell r="B33">
            <v>10038</v>
          </cell>
          <cell r="C33" t="str">
            <v xml:space="preserve">S.MARIYASELVAM </v>
          </cell>
          <cell r="D33" t="str">
            <v>ELECTRICAL</v>
          </cell>
          <cell r="E33">
            <v>8</v>
          </cell>
          <cell r="F33">
            <v>8</v>
          </cell>
          <cell r="G33">
            <v>8</v>
          </cell>
          <cell r="H33">
            <v>8</v>
          </cell>
          <cell r="I33">
            <v>8</v>
          </cell>
          <cell r="J33">
            <v>8</v>
          </cell>
          <cell r="K33">
            <v>8</v>
          </cell>
          <cell r="L33">
            <v>8</v>
          </cell>
          <cell r="M33">
            <v>8</v>
          </cell>
          <cell r="N33">
            <v>0</v>
          </cell>
          <cell r="O33">
            <v>8</v>
          </cell>
          <cell r="P33">
            <v>8</v>
          </cell>
          <cell r="Q33">
            <v>8</v>
          </cell>
          <cell r="R33">
            <v>8</v>
          </cell>
          <cell r="S33">
            <v>8</v>
          </cell>
          <cell r="T33">
            <v>8</v>
          </cell>
          <cell r="U33">
            <v>8</v>
          </cell>
          <cell r="V33">
            <v>8</v>
          </cell>
          <cell r="W33">
            <v>8</v>
          </cell>
          <cell r="X33">
            <v>8</v>
          </cell>
          <cell r="Y33">
            <v>8</v>
          </cell>
          <cell r="Z33">
            <v>8</v>
          </cell>
          <cell r="AA33">
            <v>8</v>
          </cell>
          <cell r="AB33">
            <v>8</v>
          </cell>
          <cell r="AC33">
            <v>8</v>
          </cell>
          <cell r="AD33">
            <v>0</v>
          </cell>
          <cell r="AE33">
            <v>8</v>
          </cell>
          <cell r="AF33">
            <v>8</v>
          </cell>
          <cell r="AG33">
            <v>8</v>
          </cell>
          <cell r="AH33">
            <v>8</v>
          </cell>
          <cell r="AI33">
            <v>8</v>
          </cell>
          <cell r="AJ33">
            <v>29</v>
          </cell>
          <cell r="AK33">
            <v>3</v>
          </cell>
          <cell r="AL33">
            <v>26</v>
          </cell>
          <cell r="AM33">
            <v>1</v>
          </cell>
          <cell r="AN33">
            <v>11.1875</v>
          </cell>
          <cell r="AO33">
            <v>89.5</v>
          </cell>
        </row>
        <row r="34">
          <cell r="B34">
            <v>10039</v>
          </cell>
          <cell r="C34" t="str">
            <v>S.GANESAN</v>
          </cell>
          <cell r="D34" t="str">
            <v>FABRICATION</v>
          </cell>
          <cell r="E34">
            <v>8</v>
          </cell>
          <cell r="F34">
            <v>8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8</v>
          </cell>
          <cell r="L34">
            <v>8</v>
          </cell>
          <cell r="M34">
            <v>8</v>
          </cell>
          <cell r="N34">
            <v>8</v>
          </cell>
          <cell r="O34">
            <v>8</v>
          </cell>
          <cell r="P34">
            <v>0</v>
          </cell>
          <cell r="Q34">
            <v>8</v>
          </cell>
          <cell r="R34">
            <v>8</v>
          </cell>
          <cell r="S34">
            <v>8</v>
          </cell>
          <cell r="T34">
            <v>8</v>
          </cell>
          <cell r="U34">
            <v>8</v>
          </cell>
          <cell r="V34">
            <v>8</v>
          </cell>
          <cell r="W34">
            <v>0</v>
          </cell>
          <cell r="X34">
            <v>8</v>
          </cell>
          <cell r="Y34">
            <v>8</v>
          </cell>
          <cell r="Z34">
            <v>8</v>
          </cell>
          <cell r="AA34">
            <v>8</v>
          </cell>
          <cell r="AB34">
            <v>8</v>
          </cell>
          <cell r="AC34">
            <v>8</v>
          </cell>
          <cell r="AD34">
            <v>0</v>
          </cell>
          <cell r="AE34">
            <v>8</v>
          </cell>
          <cell r="AF34">
            <v>8</v>
          </cell>
          <cell r="AG34">
            <v>8</v>
          </cell>
          <cell r="AH34">
            <v>8</v>
          </cell>
          <cell r="AI34">
            <v>8</v>
          </cell>
          <cell r="AJ34">
            <v>24</v>
          </cell>
          <cell r="AK34">
            <v>0</v>
          </cell>
          <cell r="AL34">
            <v>24</v>
          </cell>
          <cell r="AM34">
            <v>3</v>
          </cell>
          <cell r="AN34">
            <v>7.0625</v>
          </cell>
          <cell r="AO34">
            <v>56.5</v>
          </cell>
        </row>
        <row r="35">
          <cell r="B35">
            <v>10040</v>
          </cell>
          <cell r="C35" t="str">
            <v>V.SANTHOSH KUMAR</v>
          </cell>
          <cell r="D35" t="str">
            <v>M Shop</v>
          </cell>
          <cell r="E35">
            <v>8</v>
          </cell>
          <cell r="F35">
            <v>8</v>
          </cell>
          <cell r="G35">
            <v>8</v>
          </cell>
          <cell r="H35">
            <v>8</v>
          </cell>
          <cell r="I35">
            <v>8</v>
          </cell>
          <cell r="J35">
            <v>8</v>
          </cell>
          <cell r="K35">
            <v>8</v>
          </cell>
          <cell r="L35">
            <v>8</v>
          </cell>
          <cell r="M35">
            <v>8</v>
          </cell>
          <cell r="N35">
            <v>8</v>
          </cell>
          <cell r="O35">
            <v>8</v>
          </cell>
          <cell r="P35">
            <v>0</v>
          </cell>
          <cell r="Q35">
            <v>8</v>
          </cell>
          <cell r="R35">
            <v>8</v>
          </cell>
          <cell r="S35">
            <v>8</v>
          </cell>
          <cell r="T35">
            <v>8</v>
          </cell>
          <cell r="U35">
            <v>8</v>
          </cell>
          <cell r="V35">
            <v>8</v>
          </cell>
          <cell r="W35">
            <v>8</v>
          </cell>
          <cell r="X35">
            <v>8</v>
          </cell>
          <cell r="Y35">
            <v>8</v>
          </cell>
          <cell r="Z35">
            <v>8</v>
          </cell>
          <cell r="AA35">
            <v>8</v>
          </cell>
          <cell r="AB35">
            <v>0</v>
          </cell>
          <cell r="AC35">
            <v>0</v>
          </cell>
          <cell r="AD35">
            <v>0</v>
          </cell>
          <cell r="AE35">
            <v>8</v>
          </cell>
          <cell r="AF35">
            <v>8</v>
          </cell>
          <cell r="AG35">
            <v>8</v>
          </cell>
          <cell r="AH35">
            <v>8</v>
          </cell>
          <cell r="AI35">
            <v>8</v>
          </cell>
          <cell r="AJ35">
            <v>27</v>
          </cell>
          <cell r="AK35">
            <v>2</v>
          </cell>
          <cell r="AL35">
            <v>25</v>
          </cell>
          <cell r="AM35">
            <v>2</v>
          </cell>
          <cell r="AN35">
            <v>11.8125</v>
          </cell>
          <cell r="AO35">
            <v>94.5</v>
          </cell>
        </row>
        <row r="36">
          <cell r="B36">
            <v>10041</v>
          </cell>
          <cell r="C36" t="str">
            <v>D.JESU BALAN</v>
          </cell>
          <cell r="D36" t="str">
            <v>M Shop</v>
          </cell>
          <cell r="E36">
            <v>8</v>
          </cell>
          <cell r="F36">
            <v>8</v>
          </cell>
          <cell r="G36">
            <v>8</v>
          </cell>
          <cell r="H36">
            <v>8</v>
          </cell>
          <cell r="I36">
            <v>0</v>
          </cell>
          <cell r="J36">
            <v>8</v>
          </cell>
          <cell r="K36">
            <v>8</v>
          </cell>
          <cell r="L36">
            <v>8</v>
          </cell>
          <cell r="M36">
            <v>8</v>
          </cell>
          <cell r="N36">
            <v>8</v>
          </cell>
          <cell r="O36">
            <v>8</v>
          </cell>
          <cell r="P36">
            <v>0</v>
          </cell>
          <cell r="Q36">
            <v>8</v>
          </cell>
          <cell r="R36">
            <v>8</v>
          </cell>
          <cell r="S36">
            <v>8</v>
          </cell>
          <cell r="T36">
            <v>8</v>
          </cell>
          <cell r="U36">
            <v>8</v>
          </cell>
          <cell r="V36">
            <v>8</v>
          </cell>
          <cell r="W36">
            <v>0</v>
          </cell>
          <cell r="X36">
            <v>8</v>
          </cell>
          <cell r="Y36">
            <v>8</v>
          </cell>
          <cell r="Z36">
            <v>8</v>
          </cell>
          <cell r="AA36">
            <v>0</v>
          </cell>
          <cell r="AB36">
            <v>8</v>
          </cell>
          <cell r="AC36">
            <v>8</v>
          </cell>
          <cell r="AD36">
            <v>0</v>
          </cell>
          <cell r="AE36">
            <v>8</v>
          </cell>
          <cell r="AF36">
            <v>8</v>
          </cell>
          <cell r="AG36">
            <v>8</v>
          </cell>
          <cell r="AH36">
            <v>8</v>
          </cell>
          <cell r="AI36">
            <v>8</v>
          </cell>
          <cell r="AJ36">
            <v>26</v>
          </cell>
          <cell r="AK36">
            <v>0</v>
          </cell>
          <cell r="AL36">
            <v>26</v>
          </cell>
          <cell r="AM36">
            <v>1</v>
          </cell>
          <cell r="AN36">
            <v>8.1875</v>
          </cell>
          <cell r="AO36">
            <v>65.5</v>
          </cell>
        </row>
        <row r="37">
          <cell r="B37">
            <v>10044</v>
          </cell>
          <cell r="C37" t="str">
            <v>S.GANESH KUMAR</v>
          </cell>
          <cell r="D37" t="str">
            <v>ASSEMBLY</v>
          </cell>
          <cell r="E37">
            <v>8</v>
          </cell>
          <cell r="F37">
            <v>8</v>
          </cell>
          <cell r="G37">
            <v>8</v>
          </cell>
          <cell r="H37">
            <v>8</v>
          </cell>
          <cell r="I37">
            <v>0</v>
          </cell>
          <cell r="J37">
            <v>8</v>
          </cell>
          <cell r="K37">
            <v>0</v>
          </cell>
          <cell r="L37">
            <v>0</v>
          </cell>
          <cell r="M37">
            <v>8</v>
          </cell>
          <cell r="N37">
            <v>8</v>
          </cell>
          <cell r="O37">
            <v>8</v>
          </cell>
          <cell r="P37">
            <v>0</v>
          </cell>
          <cell r="Q37">
            <v>8</v>
          </cell>
          <cell r="R37">
            <v>0</v>
          </cell>
          <cell r="S37">
            <v>8</v>
          </cell>
          <cell r="T37">
            <v>8</v>
          </cell>
          <cell r="U37">
            <v>0</v>
          </cell>
          <cell r="V37">
            <v>8</v>
          </cell>
          <cell r="W37">
            <v>0</v>
          </cell>
          <cell r="X37">
            <v>8</v>
          </cell>
          <cell r="Y37">
            <v>8</v>
          </cell>
          <cell r="Z37">
            <v>8</v>
          </cell>
          <cell r="AA37">
            <v>8</v>
          </cell>
          <cell r="AB37">
            <v>8</v>
          </cell>
          <cell r="AC37">
            <v>8</v>
          </cell>
          <cell r="AD37">
            <v>0</v>
          </cell>
          <cell r="AE37">
            <v>8</v>
          </cell>
          <cell r="AF37">
            <v>8</v>
          </cell>
          <cell r="AG37">
            <v>8</v>
          </cell>
          <cell r="AH37">
            <v>8</v>
          </cell>
          <cell r="AI37">
            <v>8</v>
          </cell>
          <cell r="AJ37">
            <v>23</v>
          </cell>
          <cell r="AK37">
            <v>0</v>
          </cell>
          <cell r="AL37">
            <v>23</v>
          </cell>
          <cell r="AM37">
            <v>4</v>
          </cell>
          <cell r="AN37">
            <v>6.25</v>
          </cell>
          <cell r="AO37">
            <v>50</v>
          </cell>
        </row>
        <row r="38">
          <cell r="B38">
            <v>10045</v>
          </cell>
          <cell r="C38" t="str">
            <v>E.JAGETHEESH</v>
          </cell>
          <cell r="D38" t="str">
            <v>M Shop</v>
          </cell>
          <cell r="E38">
            <v>8</v>
          </cell>
          <cell r="F38">
            <v>8</v>
          </cell>
          <cell r="G38">
            <v>8</v>
          </cell>
          <cell r="H38">
            <v>8</v>
          </cell>
          <cell r="I38">
            <v>0</v>
          </cell>
          <cell r="J38">
            <v>8</v>
          </cell>
          <cell r="K38">
            <v>8</v>
          </cell>
          <cell r="L38">
            <v>8</v>
          </cell>
          <cell r="M38">
            <v>8</v>
          </cell>
          <cell r="N38">
            <v>8</v>
          </cell>
          <cell r="O38">
            <v>8</v>
          </cell>
          <cell r="P38">
            <v>0</v>
          </cell>
          <cell r="Q38">
            <v>8</v>
          </cell>
          <cell r="R38">
            <v>8</v>
          </cell>
          <cell r="S38">
            <v>8</v>
          </cell>
          <cell r="T38">
            <v>8</v>
          </cell>
          <cell r="U38">
            <v>0</v>
          </cell>
          <cell r="V38">
            <v>0</v>
          </cell>
          <cell r="W38">
            <v>0</v>
          </cell>
          <cell r="X38">
            <v>8</v>
          </cell>
          <cell r="Y38">
            <v>8</v>
          </cell>
          <cell r="Z38">
            <v>8</v>
          </cell>
          <cell r="AA38">
            <v>8</v>
          </cell>
          <cell r="AB38">
            <v>8</v>
          </cell>
          <cell r="AC38">
            <v>8</v>
          </cell>
          <cell r="AD38">
            <v>0</v>
          </cell>
          <cell r="AE38">
            <v>8</v>
          </cell>
          <cell r="AF38">
            <v>8</v>
          </cell>
          <cell r="AG38">
            <v>8</v>
          </cell>
          <cell r="AH38">
            <v>8</v>
          </cell>
          <cell r="AI38">
            <v>8</v>
          </cell>
          <cell r="AJ38">
            <v>25</v>
          </cell>
          <cell r="AK38">
            <v>0</v>
          </cell>
          <cell r="AL38">
            <v>25</v>
          </cell>
          <cell r="AM38">
            <v>2</v>
          </cell>
          <cell r="AN38">
            <v>9.5625</v>
          </cell>
          <cell r="AO38">
            <v>76.5</v>
          </cell>
        </row>
        <row r="39">
          <cell r="B39">
            <v>10047</v>
          </cell>
          <cell r="C39" t="str">
            <v>U.SHENBAGASARAVANAN</v>
          </cell>
          <cell r="D39" t="str">
            <v>M Shop</v>
          </cell>
          <cell r="E39">
            <v>8</v>
          </cell>
          <cell r="F39">
            <v>8</v>
          </cell>
          <cell r="G39">
            <v>8</v>
          </cell>
          <cell r="H39">
            <v>8</v>
          </cell>
          <cell r="I39">
            <v>0</v>
          </cell>
          <cell r="J39">
            <v>8</v>
          </cell>
          <cell r="K39">
            <v>8</v>
          </cell>
          <cell r="L39">
            <v>8</v>
          </cell>
          <cell r="M39">
            <v>8</v>
          </cell>
          <cell r="N39">
            <v>8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8</v>
          </cell>
          <cell r="Y39">
            <v>8</v>
          </cell>
          <cell r="Z39">
            <v>8</v>
          </cell>
          <cell r="AA39">
            <v>8</v>
          </cell>
          <cell r="AB39">
            <v>8</v>
          </cell>
          <cell r="AC39">
            <v>8</v>
          </cell>
          <cell r="AD39">
            <v>0</v>
          </cell>
          <cell r="AE39">
            <v>8</v>
          </cell>
          <cell r="AF39">
            <v>8</v>
          </cell>
          <cell r="AG39">
            <v>8</v>
          </cell>
          <cell r="AH39">
            <v>8</v>
          </cell>
          <cell r="AI39">
            <v>8</v>
          </cell>
          <cell r="AJ39">
            <v>20</v>
          </cell>
          <cell r="AK39">
            <v>0</v>
          </cell>
          <cell r="AL39">
            <v>20</v>
          </cell>
          <cell r="AM39">
            <v>7</v>
          </cell>
          <cell r="AN39">
            <v>8.0625</v>
          </cell>
          <cell r="AO39">
            <v>64.5</v>
          </cell>
        </row>
        <row r="40">
          <cell r="B40">
            <v>10048</v>
          </cell>
          <cell r="C40" t="str">
            <v>S.MARTIN SAGAYA RAJ</v>
          </cell>
          <cell r="D40" t="str">
            <v>FABRICATION</v>
          </cell>
          <cell r="E40">
            <v>8</v>
          </cell>
          <cell r="F40">
            <v>8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8</v>
          </cell>
          <cell r="M40">
            <v>8</v>
          </cell>
          <cell r="N40">
            <v>8</v>
          </cell>
          <cell r="O40">
            <v>8</v>
          </cell>
          <cell r="P40">
            <v>0</v>
          </cell>
          <cell r="Q40">
            <v>8</v>
          </cell>
          <cell r="R40">
            <v>8</v>
          </cell>
          <cell r="S40">
            <v>8</v>
          </cell>
          <cell r="T40">
            <v>8</v>
          </cell>
          <cell r="U40">
            <v>8</v>
          </cell>
          <cell r="V40">
            <v>8</v>
          </cell>
          <cell r="W40">
            <v>0</v>
          </cell>
          <cell r="X40">
            <v>0</v>
          </cell>
          <cell r="Y40">
            <v>8</v>
          </cell>
          <cell r="Z40">
            <v>8</v>
          </cell>
          <cell r="AA40">
            <v>8</v>
          </cell>
          <cell r="AB40">
            <v>8</v>
          </cell>
          <cell r="AC40">
            <v>8</v>
          </cell>
          <cell r="AD40">
            <v>0</v>
          </cell>
          <cell r="AE40">
            <v>8</v>
          </cell>
          <cell r="AF40">
            <v>8</v>
          </cell>
          <cell r="AG40">
            <v>8</v>
          </cell>
          <cell r="AH40">
            <v>8</v>
          </cell>
          <cell r="AI40">
            <v>8</v>
          </cell>
          <cell r="AJ40">
            <v>22</v>
          </cell>
          <cell r="AK40">
            <v>0</v>
          </cell>
          <cell r="AL40">
            <v>22</v>
          </cell>
          <cell r="AM40">
            <v>5</v>
          </cell>
          <cell r="AN40">
            <v>8.75</v>
          </cell>
          <cell r="AO40">
            <v>70</v>
          </cell>
        </row>
        <row r="41">
          <cell r="B41">
            <v>10049</v>
          </cell>
          <cell r="C41" t="str">
            <v>K.SIVA DASS</v>
          </cell>
          <cell r="D41" t="str">
            <v>ASSEMBLY</v>
          </cell>
          <cell r="E41">
            <v>8</v>
          </cell>
          <cell r="F41">
            <v>8</v>
          </cell>
          <cell r="G41">
            <v>8</v>
          </cell>
          <cell r="H41">
            <v>8</v>
          </cell>
          <cell r="I41">
            <v>0</v>
          </cell>
          <cell r="J41">
            <v>8</v>
          </cell>
          <cell r="K41">
            <v>8</v>
          </cell>
          <cell r="L41">
            <v>8</v>
          </cell>
          <cell r="M41">
            <v>8</v>
          </cell>
          <cell r="N41">
            <v>8</v>
          </cell>
          <cell r="O41">
            <v>8</v>
          </cell>
          <cell r="P41">
            <v>0</v>
          </cell>
          <cell r="Q41">
            <v>8</v>
          </cell>
          <cell r="R41">
            <v>8</v>
          </cell>
          <cell r="S41">
            <v>8</v>
          </cell>
          <cell r="T41">
            <v>8</v>
          </cell>
          <cell r="U41">
            <v>8</v>
          </cell>
          <cell r="V41">
            <v>8</v>
          </cell>
          <cell r="W41">
            <v>0</v>
          </cell>
          <cell r="X41">
            <v>0</v>
          </cell>
          <cell r="Y41">
            <v>8</v>
          </cell>
          <cell r="Z41">
            <v>8</v>
          </cell>
          <cell r="AA41">
            <v>8</v>
          </cell>
          <cell r="AB41">
            <v>8</v>
          </cell>
          <cell r="AC41">
            <v>8</v>
          </cell>
          <cell r="AD41">
            <v>0</v>
          </cell>
          <cell r="AE41">
            <v>8</v>
          </cell>
          <cell r="AF41">
            <v>8</v>
          </cell>
          <cell r="AG41">
            <v>8</v>
          </cell>
          <cell r="AH41">
            <v>8</v>
          </cell>
          <cell r="AI41">
            <v>8</v>
          </cell>
          <cell r="AJ41">
            <v>26</v>
          </cell>
          <cell r="AK41">
            <v>0</v>
          </cell>
          <cell r="AL41">
            <v>26</v>
          </cell>
          <cell r="AM41">
            <v>1</v>
          </cell>
          <cell r="AN41">
            <v>6.9375</v>
          </cell>
          <cell r="AO41">
            <v>55.5</v>
          </cell>
        </row>
        <row r="42">
          <cell r="B42">
            <v>10050</v>
          </cell>
          <cell r="C42" t="str">
            <v>V.VIJAYAKUMAR</v>
          </cell>
          <cell r="D42" t="str">
            <v>M Shop</v>
          </cell>
          <cell r="E42">
            <v>8</v>
          </cell>
          <cell r="F42">
            <v>8</v>
          </cell>
          <cell r="G42">
            <v>8</v>
          </cell>
          <cell r="H42">
            <v>8</v>
          </cell>
          <cell r="I42">
            <v>0</v>
          </cell>
          <cell r="J42">
            <v>8</v>
          </cell>
          <cell r="K42">
            <v>8</v>
          </cell>
          <cell r="L42">
            <v>8</v>
          </cell>
          <cell r="M42">
            <v>8</v>
          </cell>
          <cell r="N42">
            <v>8</v>
          </cell>
          <cell r="O42">
            <v>8</v>
          </cell>
          <cell r="P42">
            <v>8</v>
          </cell>
          <cell r="Q42">
            <v>8</v>
          </cell>
          <cell r="R42">
            <v>8</v>
          </cell>
          <cell r="S42">
            <v>8</v>
          </cell>
          <cell r="T42">
            <v>8</v>
          </cell>
          <cell r="U42">
            <v>8</v>
          </cell>
          <cell r="V42">
            <v>8</v>
          </cell>
          <cell r="W42">
            <v>0</v>
          </cell>
          <cell r="X42">
            <v>8</v>
          </cell>
          <cell r="Y42">
            <v>8</v>
          </cell>
          <cell r="Z42">
            <v>8</v>
          </cell>
          <cell r="AA42">
            <v>4</v>
          </cell>
          <cell r="AB42">
            <v>8</v>
          </cell>
          <cell r="AC42">
            <v>8</v>
          </cell>
          <cell r="AD42">
            <v>8</v>
          </cell>
          <cell r="AE42">
            <v>8</v>
          </cell>
          <cell r="AF42">
            <v>8</v>
          </cell>
          <cell r="AG42">
            <v>8</v>
          </cell>
          <cell r="AH42">
            <v>8</v>
          </cell>
          <cell r="AI42">
            <v>8</v>
          </cell>
          <cell r="AJ42">
            <v>28.5</v>
          </cell>
          <cell r="AK42">
            <v>2</v>
          </cell>
          <cell r="AL42">
            <v>26.5</v>
          </cell>
          <cell r="AM42">
            <v>0.5</v>
          </cell>
          <cell r="AN42">
            <v>13.25</v>
          </cell>
          <cell r="AO42">
            <v>106</v>
          </cell>
        </row>
        <row r="43">
          <cell r="B43">
            <v>10051</v>
          </cell>
          <cell r="C43" t="str">
            <v>M.ARIKARASUDHAN</v>
          </cell>
          <cell r="D43" t="str">
            <v>ASSEMBLY</v>
          </cell>
          <cell r="E43">
            <v>8</v>
          </cell>
          <cell r="F43">
            <v>8</v>
          </cell>
          <cell r="G43">
            <v>8</v>
          </cell>
          <cell r="H43">
            <v>8</v>
          </cell>
          <cell r="I43">
            <v>8</v>
          </cell>
          <cell r="J43">
            <v>8</v>
          </cell>
          <cell r="K43">
            <v>8</v>
          </cell>
          <cell r="L43">
            <v>8</v>
          </cell>
          <cell r="M43">
            <v>8</v>
          </cell>
          <cell r="N43">
            <v>8</v>
          </cell>
          <cell r="O43">
            <v>8</v>
          </cell>
          <cell r="P43">
            <v>0</v>
          </cell>
          <cell r="Q43">
            <v>8</v>
          </cell>
          <cell r="R43">
            <v>8</v>
          </cell>
          <cell r="S43">
            <v>8</v>
          </cell>
          <cell r="T43">
            <v>8</v>
          </cell>
          <cell r="U43">
            <v>8</v>
          </cell>
          <cell r="V43">
            <v>8</v>
          </cell>
          <cell r="W43">
            <v>8</v>
          </cell>
          <cell r="X43">
            <v>8</v>
          </cell>
          <cell r="Y43">
            <v>8</v>
          </cell>
          <cell r="Z43">
            <v>8</v>
          </cell>
          <cell r="AA43">
            <v>8</v>
          </cell>
          <cell r="AB43">
            <v>8</v>
          </cell>
          <cell r="AC43">
            <v>8</v>
          </cell>
          <cell r="AD43">
            <v>8</v>
          </cell>
          <cell r="AE43">
            <v>8</v>
          </cell>
          <cell r="AF43">
            <v>8</v>
          </cell>
          <cell r="AG43">
            <v>8</v>
          </cell>
          <cell r="AH43">
            <v>0</v>
          </cell>
          <cell r="AI43">
            <v>8</v>
          </cell>
          <cell r="AJ43">
            <v>29</v>
          </cell>
          <cell r="AK43">
            <v>3</v>
          </cell>
          <cell r="AL43">
            <v>26</v>
          </cell>
          <cell r="AM43">
            <v>1</v>
          </cell>
          <cell r="AN43">
            <v>11.0625</v>
          </cell>
          <cell r="AO43">
            <v>88.5</v>
          </cell>
        </row>
        <row r="44">
          <cell r="B44">
            <v>10052</v>
          </cell>
          <cell r="C44" t="str">
            <v>A.MUTHAMILSELVAN</v>
          </cell>
          <cell r="D44" t="str">
            <v>M Shop</v>
          </cell>
          <cell r="E44">
            <v>8</v>
          </cell>
          <cell r="F44">
            <v>8</v>
          </cell>
          <cell r="G44">
            <v>8</v>
          </cell>
          <cell r="H44">
            <v>8</v>
          </cell>
          <cell r="I44">
            <v>0</v>
          </cell>
          <cell r="J44">
            <v>8</v>
          </cell>
          <cell r="K44">
            <v>8</v>
          </cell>
          <cell r="L44">
            <v>8</v>
          </cell>
          <cell r="M44">
            <v>8</v>
          </cell>
          <cell r="N44">
            <v>8</v>
          </cell>
          <cell r="O44">
            <v>8</v>
          </cell>
          <cell r="P44">
            <v>8</v>
          </cell>
          <cell r="Q44">
            <v>8</v>
          </cell>
          <cell r="R44">
            <v>8</v>
          </cell>
          <cell r="S44">
            <v>8</v>
          </cell>
          <cell r="T44">
            <v>8</v>
          </cell>
          <cell r="U44">
            <v>8</v>
          </cell>
          <cell r="V44">
            <v>8</v>
          </cell>
          <cell r="W44">
            <v>0</v>
          </cell>
          <cell r="X44">
            <v>8</v>
          </cell>
          <cell r="Y44">
            <v>8</v>
          </cell>
          <cell r="Z44">
            <v>8</v>
          </cell>
          <cell r="AA44">
            <v>8</v>
          </cell>
          <cell r="AB44">
            <v>8</v>
          </cell>
          <cell r="AC44">
            <v>8</v>
          </cell>
          <cell r="AD44">
            <v>8</v>
          </cell>
          <cell r="AE44">
            <v>8</v>
          </cell>
          <cell r="AF44">
            <v>8</v>
          </cell>
          <cell r="AG44">
            <v>8</v>
          </cell>
          <cell r="AH44">
            <v>0</v>
          </cell>
          <cell r="AI44">
            <v>0</v>
          </cell>
          <cell r="AJ44">
            <v>27</v>
          </cell>
          <cell r="AK44">
            <v>2</v>
          </cell>
          <cell r="AL44">
            <v>25</v>
          </cell>
          <cell r="AM44">
            <v>2</v>
          </cell>
          <cell r="AN44">
            <v>11.875</v>
          </cell>
          <cell r="AO44">
            <v>95</v>
          </cell>
        </row>
        <row r="45">
          <cell r="B45">
            <v>10053</v>
          </cell>
          <cell r="C45" t="str">
            <v>S.ASHOK KUMAR</v>
          </cell>
          <cell r="D45" t="str">
            <v>M Shop</v>
          </cell>
          <cell r="E45">
            <v>8</v>
          </cell>
          <cell r="F45">
            <v>0</v>
          </cell>
          <cell r="G45">
            <v>8</v>
          </cell>
          <cell r="H45">
            <v>8</v>
          </cell>
          <cell r="I45">
            <v>0</v>
          </cell>
          <cell r="J45">
            <v>8</v>
          </cell>
          <cell r="K45">
            <v>8</v>
          </cell>
          <cell r="L45">
            <v>8</v>
          </cell>
          <cell r="M45">
            <v>8</v>
          </cell>
          <cell r="N45">
            <v>8</v>
          </cell>
          <cell r="O45">
            <v>8</v>
          </cell>
          <cell r="P45">
            <v>0</v>
          </cell>
          <cell r="Q45">
            <v>0</v>
          </cell>
          <cell r="R45">
            <v>8</v>
          </cell>
          <cell r="S45">
            <v>8</v>
          </cell>
          <cell r="T45">
            <v>8</v>
          </cell>
          <cell r="U45">
            <v>8</v>
          </cell>
          <cell r="V45">
            <v>8</v>
          </cell>
          <cell r="W45">
            <v>8</v>
          </cell>
          <cell r="X45">
            <v>8</v>
          </cell>
          <cell r="Y45">
            <v>8</v>
          </cell>
          <cell r="Z45">
            <v>8</v>
          </cell>
          <cell r="AA45">
            <v>4</v>
          </cell>
          <cell r="AB45">
            <v>0</v>
          </cell>
          <cell r="AC45">
            <v>8</v>
          </cell>
          <cell r="AD45">
            <v>0</v>
          </cell>
          <cell r="AE45">
            <v>8</v>
          </cell>
          <cell r="AF45">
            <v>8</v>
          </cell>
          <cell r="AG45">
            <v>8</v>
          </cell>
          <cell r="AH45">
            <v>8</v>
          </cell>
          <cell r="AI45">
            <v>8</v>
          </cell>
          <cell r="AJ45">
            <v>24.5</v>
          </cell>
          <cell r="AK45">
            <v>1</v>
          </cell>
          <cell r="AL45">
            <v>23.5</v>
          </cell>
          <cell r="AM45">
            <v>3.5</v>
          </cell>
          <cell r="AN45">
            <v>10.5</v>
          </cell>
          <cell r="AO45">
            <v>84</v>
          </cell>
        </row>
        <row r="46">
          <cell r="B46">
            <v>10054</v>
          </cell>
          <cell r="C46" t="str">
            <v>A.KARTHIKEYAN</v>
          </cell>
          <cell r="D46" t="str">
            <v>FABRICATION</v>
          </cell>
          <cell r="E46">
            <v>8</v>
          </cell>
          <cell r="F46">
            <v>8</v>
          </cell>
          <cell r="G46">
            <v>8</v>
          </cell>
          <cell r="H46">
            <v>8</v>
          </cell>
          <cell r="I46">
            <v>0</v>
          </cell>
          <cell r="J46">
            <v>8</v>
          </cell>
          <cell r="K46">
            <v>8</v>
          </cell>
          <cell r="L46">
            <v>0</v>
          </cell>
          <cell r="M46">
            <v>8</v>
          </cell>
          <cell r="N46">
            <v>8</v>
          </cell>
          <cell r="O46">
            <v>8</v>
          </cell>
          <cell r="P46">
            <v>0</v>
          </cell>
          <cell r="Q46">
            <v>8</v>
          </cell>
          <cell r="R46">
            <v>8</v>
          </cell>
          <cell r="S46">
            <v>8</v>
          </cell>
          <cell r="T46">
            <v>8</v>
          </cell>
          <cell r="U46">
            <v>8</v>
          </cell>
          <cell r="V46">
            <v>8</v>
          </cell>
          <cell r="W46">
            <v>0</v>
          </cell>
          <cell r="X46">
            <v>8</v>
          </cell>
          <cell r="Y46">
            <v>4</v>
          </cell>
          <cell r="Z46">
            <v>8</v>
          </cell>
          <cell r="AA46">
            <v>8</v>
          </cell>
          <cell r="AB46">
            <v>8</v>
          </cell>
          <cell r="AC46">
            <v>8</v>
          </cell>
          <cell r="AD46">
            <v>0</v>
          </cell>
          <cell r="AE46">
            <v>8</v>
          </cell>
          <cell r="AF46">
            <v>8</v>
          </cell>
          <cell r="AG46">
            <v>4</v>
          </cell>
          <cell r="AH46">
            <v>8</v>
          </cell>
          <cell r="AI46">
            <v>8</v>
          </cell>
          <cell r="AJ46">
            <v>25</v>
          </cell>
          <cell r="AK46">
            <v>0</v>
          </cell>
          <cell r="AL46">
            <v>25</v>
          </cell>
          <cell r="AM46">
            <v>2</v>
          </cell>
          <cell r="AN46">
            <v>7.375</v>
          </cell>
          <cell r="AO46">
            <v>59</v>
          </cell>
        </row>
        <row r="47">
          <cell r="B47">
            <v>10055</v>
          </cell>
          <cell r="C47" t="str">
            <v>P.SENTHILKUMAR</v>
          </cell>
          <cell r="D47" t="str">
            <v>M Shop</v>
          </cell>
          <cell r="E47">
            <v>8</v>
          </cell>
          <cell r="F47">
            <v>8</v>
          </cell>
          <cell r="G47">
            <v>8</v>
          </cell>
          <cell r="H47">
            <v>8</v>
          </cell>
          <cell r="I47">
            <v>0</v>
          </cell>
          <cell r="J47">
            <v>8</v>
          </cell>
          <cell r="K47">
            <v>8</v>
          </cell>
          <cell r="L47">
            <v>8</v>
          </cell>
          <cell r="M47">
            <v>8</v>
          </cell>
          <cell r="N47">
            <v>8</v>
          </cell>
          <cell r="O47">
            <v>8</v>
          </cell>
          <cell r="P47">
            <v>0</v>
          </cell>
          <cell r="Q47">
            <v>0</v>
          </cell>
          <cell r="R47">
            <v>8</v>
          </cell>
          <cell r="S47">
            <v>8</v>
          </cell>
          <cell r="T47">
            <v>8</v>
          </cell>
          <cell r="U47">
            <v>8</v>
          </cell>
          <cell r="V47">
            <v>8</v>
          </cell>
          <cell r="W47">
            <v>8</v>
          </cell>
          <cell r="X47">
            <v>8</v>
          </cell>
          <cell r="Y47">
            <v>8</v>
          </cell>
          <cell r="Z47">
            <v>8</v>
          </cell>
          <cell r="AA47">
            <v>8</v>
          </cell>
          <cell r="AB47">
            <v>8</v>
          </cell>
          <cell r="AC47">
            <v>0</v>
          </cell>
          <cell r="AD47">
            <v>0</v>
          </cell>
          <cell r="AE47">
            <v>8</v>
          </cell>
          <cell r="AF47">
            <v>8</v>
          </cell>
          <cell r="AG47">
            <v>0</v>
          </cell>
          <cell r="AH47">
            <v>8</v>
          </cell>
          <cell r="AI47">
            <v>8</v>
          </cell>
          <cell r="AJ47">
            <v>25</v>
          </cell>
          <cell r="AK47">
            <v>1</v>
          </cell>
          <cell r="AL47">
            <v>24</v>
          </cell>
          <cell r="AM47">
            <v>3</v>
          </cell>
          <cell r="AN47">
            <v>7.875</v>
          </cell>
          <cell r="AO47">
            <v>63</v>
          </cell>
        </row>
        <row r="48">
          <cell r="B48">
            <v>10056</v>
          </cell>
          <cell r="C48" t="str">
            <v>M.SUDALAI</v>
          </cell>
          <cell r="D48" t="str">
            <v>M Shop</v>
          </cell>
          <cell r="E48">
            <v>8</v>
          </cell>
          <cell r="F48">
            <v>8</v>
          </cell>
          <cell r="G48">
            <v>8</v>
          </cell>
          <cell r="H48">
            <v>8</v>
          </cell>
          <cell r="I48">
            <v>0</v>
          </cell>
          <cell r="J48">
            <v>8</v>
          </cell>
          <cell r="K48">
            <v>8</v>
          </cell>
          <cell r="L48">
            <v>8</v>
          </cell>
          <cell r="M48">
            <v>8</v>
          </cell>
          <cell r="N48">
            <v>8</v>
          </cell>
          <cell r="O48">
            <v>8</v>
          </cell>
          <cell r="P48">
            <v>0</v>
          </cell>
          <cell r="Q48">
            <v>8</v>
          </cell>
          <cell r="R48">
            <v>8</v>
          </cell>
          <cell r="S48">
            <v>8</v>
          </cell>
          <cell r="T48">
            <v>8</v>
          </cell>
          <cell r="U48">
            <v>8</v>
          </cell>
          <cell r="V48">
            <v>0</v>
          </cell>
          <cell r="W48">
            <v>0</v>
          </cell>
          <cell r="X48">
            <v>8</v>
          </cell>
          <cell r="Y48">
            <v>8</v>
          </cell>
          <cell r="Z48">
            <v>8</v>
          </cell>
          <cell r="AA48">
            <v>8</v>
          </cell>
          <cell r="AB48">
            <v>8</v>
          </cell>
          <cell r="AC48">
            <v>8</v>
          </cell>
          <cell r="AD48">
            <v>0</v>
          </cell>
          <cell r="AE48">
            <v>8</v>
          </cell>
          <cell r="AF48">
            <v>8</v>
          </cell>
          <cell r="AG48">
            <v>8</v>
          </cell>
          <cell r="AH48">
            <v>8</v>
          </cell>
          <cell r="AI48">
            <v>8</v>
          </cell>
          <cell r="AJ48">
            <v>26</v>
          </cell>
          <cell r="AK48">
            <v>0</v>
          </cell>
          <cell r="AL48">
            <v>26</v>
          </cell>
          <cell r="AM48">
            <v>1</v>
          </cell>
          <cell r="AN48">
            <v>8.375</v>
          </cell>
          <cell r="AO48">
            <v>67</v>
          </cell>
        </row>
        <row r="49">
          <cell r="B49">
            <v>10062</v>
          </cell>
          <cell r="C49" t="str">
            <v>R.ARJUN</v>
          </cell>
          <cell r="D49" t="str">
            <v>FABRICATION</v>
          </cell>
          <cell r="E49">
            <v>8</v>
          </cell>
          <cell r="F49">
            <v>8</v>
          </cell>
          <cell r="G49">
            <v>8</v>
          </cell>
          <cell r="H49">
            <v>8</v>
          </cell>
          <cell r="I49">
            <v>0</v>
          </cell>
          <cell r="J49">
            <v>8</v>
          </cell>
          <cell r="K49">
            <v>8</v>
          </cell>
          <cell r="L49">
            <v>8</v>
          </cell>
          <cell r="M49">
            <v>8</v>
          </cell>
          <cell r="N49">
            <v>8</v>
          </cell>
          <cell r="O49">
            <v>8</v>
          </cell>
          <cell r="P49">
            <v>0</v>
          </cell>
          <cell r="Q49">
            <v>0</v>
          </cell>
          <cell r="R49">
            <v>0</v>
          </cell>
          <cell r="S49">
            <v>8</v>
          </cell>
          <cell r="T49">
            <v>8</v>
          </cell>
          <cell r="U49">
            <v>8</v>
          </cell>
          <cell r="V49">
            <v>8</v>
          </cell>
          <cell r="W49">
            <v>0</v>
          </cell>
          <cell r="X49">
            <v>8</v>
          </cell>
          <cell r="Y49">
            <v>8</v>
          </cell>
          <cell r="Z49">
            <v>8</v>
          </cell>
          <cell r="AA49">
            <v>8</v>
          </cell>
          <cell r="AB49">
            <v>8</v>
          </cell>
          <cell r="AC49">
            <v>8</v>
          </cell>
          <cell r="AD49">
            <v>0</v>
          </cell>
          <cell r="AE49">
            <v>8</v>
          </cell>
          <cell r="AF49">
            <v>8</v>
          </cell>
          <cell r="AG49">
            <v>8</v>
          </cell>
          <cell r="AH49">
            <v>0</v>
          </cell>
          <cell r="AI49">
            <v>8</v>
          </cell>
          <cell r="AJ49">
            <v>24</v>
          </cell>
          <cell r="AK49">
            <v>0</v>
          </cell>
          <cell r="AL49">
            <v>24</v>
          </cell>
          <cell r="AM49">
            <v>3</v>
          </cell>
          <cell r="AN49">
            <v>8.3125</v>
          </cell>
          <cell r="AO49">
            <v>66.5</v>
          </cell>
        </row>
        <row r="50">
          <cell r="B50">
            <v>10066</v>
          </cell>
          <cell r="C50" t="str">
            <v>M.KAMALESH</v>
          </cell>
          <cell r="D50" t="str">
            <v>M Shop</v>
          </cell>
          <cell r="E50">
            <v>8</v>
          </cell>
          <cell r="F50">
            <v>8</v>
          </cell>
          <cell r="G50">
            <v>8</v>
          </cell>
          <cell r="H50">
            <v>8</v>
          </cell>
          <cell r="I50">
            <v>0</v>
          </cell>
          <cell r="J50">
            <v>8</v>
          </cell>
          <cell r="K50">
            <v>8</v>
          </cell>
          <cell r="L50">
            <v>8</v>
          </cell>
          <cell r="M50">
            <v>8</v>
          </cell>
          <cell r="N50">
            <v>8</v>
          </cell>
          <cell r="O50">
            <v>8</v>
          </cell>
          <cell r="P50">
            <v>0</v>
          </cell>
          <cell r="Q50">
            <v>8</v>
          </cell>
          <cell r="R50">
            <v>8</v>
          </cell>
          <cell r="S50">
            <v>8</v>
          </cell>
          <cell r="T50">
            <v>8</v>
          </cell>
          <cell r="U50">
            <v>8</v>
          </cell>
          <cell r="V50">
            <v>8</v>
          </cell>
          <cell r="W50">
            <v>8</v>
          </cell>
          <cell r="X50">
            <v>8</v>
          </cell>
          <cell r="Y50">
            <v>8</v>
          </cell>
          <cell r="Z50">
            <v>8</v>
          </cell>
          <cell r="AA50">
            <v>8</v>
          </cell>
          <cell r="AB50">
            <v>8</v>
          </cell>
          <cell r="AC50">
            <v>0</v>
          </cell>
          <cell r="AD50">
            <v>0</v>
          </cell>
          <cell r="AE50">
            <v>8</v>
          </cell>
          <cell r="AF50">
            <v>8</v>
          </cell>
          <cell r="AG50">
            <v>8</v>
          </cell>
          <cell r="AH50">
            <v>8</v>
          </cell>
          <cell r="AI50">
            <v>8</v>
          </cell>
          <cell r="AJ50">
            <v>27</v>
          </cell>
          <cell r="AK50">
            <v>1</v>
          </cell>
          <cell r="AL50">
            <v>26</v>
          </cell>
          <cell r="AM50">
            <v>1</v>
          </cell>
          <cell r="AN50">
            <v>12.0625</v>
          </cell>
          <cell r="AO50">
            <v>96.5</v>
          </cell>
        </row>
        <row r="51">
          <cell r="B51">
            <v>10092</v>
          </cell>
          <cell r="C51" t="str">
            <v>M.CHANDRU</v>
          </cell>
          <cell r="D51" t="str">
            <v>ASSEMBLY</v>
          </cell>
          <cell r="E51">
            <v>8</v>
          </cell>
          <cell r="F51">
            <v>8</v>
          </cell>
          <cell r="G51">
            <v>8</v>
          </cell>
          <cell r="H51">
            <v>8</v>
          </cell>
          <cell r="I51">
            <v>0</v>
          </cell>
          <cell r="J51">
            <v>8</v>
          </cell>
          <cell r="K51">
            <v>8</v>
          </cell>
          <cell r="L51">
            <v>8</v>
          </cell>
          <cell r="M51">
            <v>8</v>
          </cell>
          <cell r="N51">
            <v>8</v>
          </cell>
          <cell r="O51">
            <v>8</v>
          </cell>
          <cell r="P51">
            <v>0</v>
          </cell>
          <cell r="Q51">
            <v>8</v>
          </cell>
          <cell r="R51">
            <v>8</v>
          </cell>
          <cell r="S51">
            <v>8</v>
          </cell>
          <cell r="T51">
            <v>8</v>
          </cell>
          <cell r="U51">
            <v>8</v>
          </cell>
          <cell r="V51">
            <v>8</v>
          </cell>
          <cell r="W51">
            <v>8</v>
          </cell>
          <cell r="X51">
            <v>8</v>
          </cell>
          <cell r="Y51">
            <v>0</v>
          </cell>
          <cell r="Z51">
            <v>8</v>
          </cell>
          <cell r="AA51">
            <v>8</v>
          </cell>
          <cell r="AB51">
            <v>8</v>
          </cell>
          <cell r="AC51">
            <v>8</v>
          </cell>
          <cell r="AD51">
            <v>0</v>
          </cell>
          <cell r="AE51">
            <v>0</v>
          </cell>
          <cell r="AF51">
            <v>8</v>
          </cell>
          <cell r="AG51">
            <v>8</v>
          </cell>
          <cell r="AH51">
            <v>8</v>
          </cell>
          <cell r="AI51">
            <v>8</v>
          </cell>
          <cell r="AJ51">
            <v>26</v>
          </cell>
          <cell r="AK51">
            <v>1</v>
          </cell>
          <cell r="AL51">
            <v>25</v>
          </cell>
          <cell r="AM51">
            <v>2</v>
          </cell>
          <cell r="AN51">
            <v>9.0625</v>
          </cell>
          <cell r="AO51">
            <v>72.5</v>
          </cell>
        </row>
        <row r="52">
          <cell r="B52">
            <v>10095</v>
          </cell>
          <cell r="C52" t="str">
            <v>S.YUVARAJA</v>
          </cell>
          <cell r="D52" t="str">
            <v>M Shop</v>
          </cell>
          <cell r="E52">
            <v>0</v>
          </cell>
          <cell r="F52">
            <v>8</v>
          </cell>
          <cell r="G52">
            <v>8</v>
          </cell>
          <cell r="H52">
            <v>8</v>
          </cell>
          <cell r="I52">
            <v>0</v>
          </cell>
          <cell r="J52">
            <v>8</v>
          </cell>
          <cell r="K52">
            <v>8</v>
          </cell>
          <cell r="L52">
            <v>8</v>
          </cell>
          <cell r="M52">
            <v>8</v>
          </cell>
          <cell r="N52">
            <v>8</v>
          </cell>
          <cell r="O52">
            <v>8</v>
          </cell>
          <cell r="P52">
            <v>0</v>
          </cell>
          <cell r="Q52">
            <v>8</v>
          </cell>
          <cell r="R52">
            <v>8</v>
          </cell>
          <cell r="S52">
            <v>8</v>
          </cell>
          <cell r="T52">
            <v>8</v>
          </cell>
          <cell r="U52">
            <v>8</v>
          </cell>
          <cell r="V52">
            <v>8</v>
          </cell>
          <cell r="W52">
            <v>0</v>
          </cell>
          <cell r="X52">
            <v>0</v>
          </cell>
          <cell r="Y52">
            <v>8</v>
          </cell>
          <cell r="Z52">
            <v>8</v>
          </cell>
          <cell r="AA52">
            <v>8</v>
          </cell>
          <cell r="AB52">
            <v>8</v>
          </cell>
          <cell r="AC52">
            <v>8</v>
          </cell>
          <cell r="AD52">
            <v>8</v>
          </cell>
          <cell r="AE52">
            <v>8</v>
          </cell>
          <cell r="AF52">
            <v>8</v>
          </cell>
          <cell r="AG52">
            <v>8</v>
          </cell>
          <cell r="AH52">
            <v>8</v>
          </cell>
          <cell r="AI52">
            <v>8</v>
          </cell>
          <cell r="AJ52">
            <v>26</v>
          </cell>
          <cell r="AK52">
            <v>1</v>
          </cell>
          <cell r="AL52">
            <v>25</v>
          </cell>
          <cell r="AM52">
            <v>2</v>
          </cell>
          <cell r="AN52">
            <v>11.875</v>
          </cell>
          <cell r="AO52">
            <v>95</v>
          </cell>
        </row>
        <row r="53">
          <cell r="B53">
            <v>10097</v>
          </cell>
          <cell r="C53" t="str">
            <v>C. MANIKANDAN</v>
          </cell>
          <cell r="D53" t="str">
            <v>M Shop</v>
          </cell>
          <cell r="E53">
            <v>8</v>
          </cell>
          <cell r="F53">
            <v>8</v>
          </cell>
          <cell r="G53">
            <v>8</v>
          </cell>
          <cell r="H53">
            <v>8</v>
          </cell>
          <cell r="I53">
            <v>0</v>
          </cell>
          <cell r="J53">
            <v>8</v>
          </cell>
          <cell r="K53">
            <v>8</v>
          </cell>
          <cell r="L53">
            <v>8</v>
          </cell>
          <cell r="M53">
            <v>8</v>
          </cell>
          <cell r="N53">
            <v>8</v>
          </cell>
          <cell r="O53">
            <v>8</v>
          </cell>
          <cell r="P53">
            <v>8</v>
          </cell>
          <cell r="Q53">
            <v>8</v>
          </cell>
          <cell r="R53">
            <v>8</v>
          </cell>
          <cell r="S53">
            <v>8</v>
          </cell>
          <cell r="T53">
            <v>8</v>
          </cell>
          <cell r="U53">
            <v>0</v>
          </cell>
          <cell r="V53">
            <v>0</v>
          </cell>
          <cell r="W53">
            <v>0</v>
          </cell>
          <cell r="X53">
            <v>8</v>
          </cell>
          <cell r="Y53">
            <v>8</v>
          </cell>
          <cell r="Z53">
            <v>8</v>
          </cell>
          <cell r="AA53">
            <v>8</v>
          </cell>
          <cell r="AB53">
            <v>8</v>
          </cell>
          <cell r="AC53">
            <v>8</v>
          </cell>
          <cell r="AD53">
            <v>8</v>
          </cell>
          <cell r="AE53">
            <v>8</v>
          </cell>
          <cell r="AF53">
            <v>8</v>
          </cell>
          <cell r="AG53">
            <v>8</v>
          </cell>
          <cell r="AH53">
            <v>8</v>
          </cell>
          <cell r="AI53">
            <v>8</v>
          </cell>
          <cell r="AJ53">
            <v>27</v>
          </cell>
          <cell r="AK53">
            <v>2</v>
          </cell>
          <cell r="AL53">
            <v>25</v>
          </cell>
          <cell r="AM53">
            <v>2</v>
          </cell>
          <cell r="AN53">
            <v>13.6875</v>
          </cell>
          <cell r="AO53">
            <v>109.5</v>
          </cell>
        </row>
        <row r="54">
          <cell r="B54">
            <v>10100</v>
          </cell>
          <cell r="C54" t="str">
            <v>S.KALIYAMOORTHY</v>
          </cell>
          <cell r="D54" t="str">
            <v>ASSEMBLY</v>
          </cell>
          <cell r="E54">
            <v>8</v>
          </cell>
          <cell r="F54">
            <v>8</v>
          </cell>
          <cell r="G54">
            <v>8</v>
          </cell>
          <cell r="H54">
            <v>8</v>
          </cell>
          <cell r="I54">
            <v>8</v>
          </cell>
          <cell r="J54">
            <v>8</v>
          </cell>
          <cell r="K54">
            <v>8</v>
          </cell>
          <cell r="L54">
            <v>8</v>
          </cell>
          <cell r="M54">
            <v>8</v>
          </cell>
          <cell r="N54">
            <v>0</v>
          </cell>
          <cell r="O54">
            <v>8</v>
          </cell>
          <cell r="P54">
            <v>8</v>
          </cell>
          <cell r="Q54">
            <v>8</v>
          </cell>
          <cell r="R54">
            <v>8</v>
          </cell>
          <cell r="S54">
            <v>8</v>
          </cell>
          <cell r="T54">
            <v>8</v>
          </cell>
          <cell r="U54">
            <v>8</v>
          </cell>
          <cell r="V54">
            <v>8</v>
          </cell>
          <cell r="W54">
            <v>8</v>
          </cell>
          <cell r="X54">
            <v>8</v>
          </cell>
          <cell r="Y54">
            <v>8</v>
          </cell>
          <cell r="Z54">
            <v>8</v>
          </cell>
          <cell r="AA54">
            <v>8</v>
          </cell>
          <cell r="AB54">
            <v>8</v>
          </cell>
          <cell r="AC54">
            <v>8</v>
          </cell>
          <cell r="AD54">
            <v>0</v>
          </cell>
          <cell r="AE54">
            <v>0</v>
          </cell>
          <cell r="AF54">
            <v>8</v>
          </cell>
          <cell r="AG54">
            <v>8</v>
          </cell>
          <cell r="AH54">
            <v>8</v>
          </cell>
          <cell r="AI54">
            <v>8</v>
          </cell>
          <cell r="AJ54">
            <v>28</v>
          </cell>
          <cell r="AK54">
            <v>3</v>
          </cell>
          <cell r="AL54">
            <v>25</v>
          </cell>
          <cell r="AM54">
            <v>2</v>
          </cell>
          <cell r="AN54">
            <v>9.75</v>
          </cell>
          <cell r="AO54">
            <v>78</v>
          </cell>
        </row>
        <row r="55">
          <cell r="B55">
            <v>10106</v>
          </cell>
          <cell r="C55" t="str">
            <v>M.ABINAS</v>
          </cell>
          <cell r="D55" t="str">
            <v>ELECTRICAL</v>
          </cell>
          <cell r="E55">
            <v>8</v>
          </cell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8</v>
          </cell>
          <cell r="O55">
            <v>8</v>
          </cell>
          <cell r="P55">
            <v>8</v>
          </cell>
          <cell r="Q55">
            <v>8</v>
          </cell>
          <cell r="R55">
            <v>8</v>
          </cell>
          <cell r="S55">
            <v>8</v>
          </cell>
          <cell r="T55">
            <v>8</v>
          </cell>
          <cell r="U55">
            <v>8</v>
          </cell>
          <cell r="V55">
            <v>8</v>
          </cell>
          <cell r="W55">
            <v>8</v>
          </cell>
          <cell r="X55">
            <v>8</v>
          </cell>
          <cell r="Y55">
            <v>8</v>
          </cell>
          <cell r="Z55">
            <v>8</v>
          </cell>
          <cell r="AA55">
            <v>8</v>
          </cell>
          <cell r="AB55">
            <v>8</v>
          </cell>
          <cell r="AC55">
            <v>8</v>
          </cell>
          <cell r="AD55">
            <v>0</v>
          </cell>
          <cell r="AE55">
            <v>8</v>
          </cell>
          <cell r="AF55">
            <v>8</v>
          </cell>
          <cell r="AG55">
            <v>8</v>
          </cell>
          <cell r="AH55">
            <v>8</v>
          </cell>
          <cell r="AI55">
            <v>8</v>
          </cell>
          <cell r="AJ55">
            <v>30</v>
          </cell>
          <cell r="AK55">
            <v>3</v>
          </cell>
          <cell r="AL55">
            <v>27</v>
          </cell>
          <cell r="AM55">
            <v>0</v>
          </cell>
          <cell r="AN55">
            <v>11.4375</v>
          </cell>
          <cell r="AO55">
            <v>91.5</v>
          </cell>
        </row>
        <row r="56">
          <cell r="B56">
            <v>10107</v>
          </cell>
          <cell r="C56" t="str">
            <v>M.SIVA SANKAR</v>
          </cell>
          <cell r="D56" t="str">
            <v>ELECTRICAL</v>
          </cell>
          <cell r="E56">
            <v>8</v>
          </cell>
          <cell r="F56">
            <v>8</v>
          </cell>
          <cell r="G56">
            <v>8</v>
          </cell>
          <cell r="H56">
            <v>4</v>
          </cell>
          <cell r="I56">
            <v>0</v>
          </cell>
          <cell r="J56">
            <v>0</v>
          </cell>
          <cell r="K56">
            <v>8</v>
          </cell>
          <cell r="L56">
            <v>8</v>
          </cell>
          <cell r="M56">
            <v>8</v>
          </cell>
          <cell r="N56">
            <v>8</v>
          </cell>
          <cell r="O56">
            <v>8</v>
          </cell>
          <cell r="P56">
            <v>8</v>
          </cell>
          <cell r="Q56">
            <v>8</v>
          </cell>
          <cell r="R56">
            <v>8</v>
          </cell>
          <cell r="S56">
            <v>8</v>
          </cell>
          <cell r="T56">
            <v>8</v>
          </cell>
          <cell r="U56">
            <v>8</v>
          </cell>
          <cell r="V56">
            <v>8</v>
          </cell>
          <cell r="W56">
            <v>0</v>
          </cell>
          <cell r="X56">
            <v>8</v>
          </cell>
          <cell r="Y56">
            <v>8</v>
          </cell>
          <cell r="Z56">
            <v>8</v>
          </cell>
          <cell r="AA56">
            <v>8</v>
          </cell>
          <cell r="AB56">
            <v>8</v>
          </cell>
          <cell r="AC56">
            <v>8</v>
          </cell>
          <cell r="AD56">
            <v>0</v>
          </cell>
          <cell r="AE56">
            <v>8</v>
          </cell>
          <cell r="AF56">
            <v>8</v>
          </cell>
          <cell r="AG56">
            <v>8</v>
          </cell>
          <cell r="AH56">
            <v>8</v>
          </cell>
          <cell r="AI56">
            <v>8</v>
          </cell>
          <cell r="AJ56">
            <v>26.5</v>
          </cell>
          <cell r="AK56">
            <v>1</v>
          </cell>
          <cell r="AL56">
            <v>25.5</v>
          </cell>
          <cell r="AM56">
            <v>1.5</v>
          </cell>
          <cell r="AN56">
            <v>9.4375</v>
          </cell>
          <cell r="AO56">
            <v>75.5</v>
          </cell>
        </row>
        <row r="57">
          <cell r="B57">
            <v>10109</v>
          </cell>
          <cell r="C57" t="str">
            <v>M.PECHIMUTHU</v>
          </cell>
          <cell r="D57" t="str">
            <v>ELECTRICAL</v>
          </cell>
          <cell r="E57">
            <v>8</v>
          </cell>
          <cell r="F57">
            <v>0</v>
          </cell>
          <cell r="G57">
            <v>8</v>
          </cell>
          <cell r="H57">
            <v>8</v>
          </cell>
          <cell r="I57">
            <v>8</v>
          </cell>
          <cell r="J57">
            <v>8</v>
          </cell>
          <cell r="K57">
            <v>8</v>
          </cell>
          <cell r="L57">
            <v>8</v>
          </cell>
          <cell r="M57">
            <v>8</v>
          </cell>
          <cell r="N57">
            <v>8</v>
          </cell>
          <cell r="O57">
            <v>8</v>
          </cell>
          <cell r="P57">
            <v>8</v>
          </cell>
          <cell r="Q57">
            <v>8</v>
          </cell>
          <cell r="R57">
            <v>8</v>
          </cell>
          <cell r="S57">
            <v>8</v>
          </cell>
          <cell r="T57">
            <v>8</v>
          </cell>
          <cell r="U57">
            <v>8</v>
          </cell>
          <cell r="V57">
            <v>8</v>
          </cell>
          <cell r="W57">
            <v>8</v>
          </cell>
          <cell r="X57">
            <v>8</v>
          </cell>
          <cell r="Y57">
            <v>8</v>
          </cell>
          <cell r="Z57">
            <v>8</v>
          </cell>
          <cell r="AA57">
            <v>8</v>
          </cell>
          <cell r="AB57">
            <v>8</v>
          </cell>
          <cell r="AC57">
            <v>8</v>
          </cell>
          <cell r="AD57">
            <v>0</v>
          </cell>
          <cell r="AE57">
            <v>8</v>
          </cell>
          <cell r="AF57">
            <v>8</v>
          </cell>
          <cell r="AG57">
            <v>8</v>
          </cell>
          <cell r="AH57">
            <v>8</v>
          </cell>
          <cell r="AI57">
            <v>8</v>
          </cell>
          <cell r="AJ57">
            <v>29</v>
          </cell>
          <cell r="AK57">
            <v>3</v>
          </cell>
          <cell r="AL57">
            <v>26</v>
          </cell>
          <cell r="AM57">
            <v>1</v>
          </cell>
          <cell r="AN57">
            <v>12.375</v>
          </cell>
          <cell r="AO57">
            <v>99</v>
          </cell>
        </row>
        <row r="58">
          <cell r="B58">
            <v>10114</v>
          </cell>
          <cell r="C58" t="str">
            <v>M.SELVA KUMAR</v>
          </cell>
          <cell r="D58" t="str">
            <v>ELECTRICAL</v>
          </cell>
          <cell r="E58">
            <v>8</v>
          </cell>
          <cell r="F58">
            <v>8</v>
          </cell>
          <cell r="G58">
            <v>8</v>
          </cell>
          <cell r="H58">
            <v>8</v>
          </cell>
          <cell r="I58">
            <v>8</v>
          </cell>
          <cell r="J58">
            <v>8</v>
          </cell>
          <cell r="K58">
            <v>8</v>
          </cell>
          <cell r="L58">
            <v>8</v>
          </cell>
          <cell r="M58">
            <v>8</v>
          </cell>
          <cell r="N58">
            <v>8</v>
          </cell>
          <cell r="O58">
            <v>8</v>
          </cell>
          <cell r="P58">
            <v>8</v>
          </cell>
          <cell r="Q58">
            <v>0</v>
          </cell>
          <cell r="R58">
            <v>0</v>
          </cell>
          <cell r="S58">
            <v>8</v>
          </cell>
          <cell r="T58">
            <v>8</v>
          </cell>
          <cell r="U58">
            <v>8</v>
          </cell>
          <cell r="V58">
            <v>8</v>
          </cell>
          <cell r="W58">
            <v>8</v>
          </cell>
          <cell r="X58">
            <v>8</v>
          </cell>
          <cell r="Y58">
            <v>8</v>
          </cell>
          <cell r="Z58">
            <v>8</v>
          </cell>
          <cell r="AA58">
            <v>8</v>
          </cell>
          <cell r="AB58">
            <v>8</v>
          </cell>
          <cell r="AC58">
            <v>8</v>
          </cell>
          <cell r="AD58">
            <v>8</v>
          </cell>
          <cell r="AE58">
            <v>8</v>
          </cell>
          <cell r="AF58">
            <v>8</v>
          </cell>
          <cell r="AG58">
            <v>8</v>
          </cell>
          <cell r="AH58">
            <v>8</v>
          </cell>
          <cell r="AI58">
            <v>8</v>
          </cell>
          <cell r="AJ58">
            <v>29</v>
          </cell>
          <cell r="AK58">
            <v>4</v>
          </cell>
          <cell r="AL58">
            <v>25</v>
          </cell>
          <cell r="AM58">
            <v>2</v>
          </cell>
          <cell r="AN58">
            <v>13</v>
          </cell>
          <cell r="AO58">
            <v>104</v>
          </cell>
        </row>
        <row r="59">
          <cell r="B59">
            <v>10118</v>
          </cell>
          <cell r="C59" t="str">
            <v>S.ESSAKIMUTHU</v>
          </cell>
          <cell r="D59" t="str">
            <v>M Shop</v>
          </cell>
          <cell r="E59">
            <v>8</v>
          </cell>
          <cell r="F59">
            <v>8</v>
          </cell>
          <cell r="G59">
            <v>8</v>
          </cell>
          <cell r="H59">
            <v>8</v>
          </cell>
          <cell r="I59">
            <v>0</v>
          </cell>
          <cell r="J59">
            <v>8</v>
          </cell>
          <cell r="K59">
            <v>8</v>
          </cell>
          <cell r="L59">
            <v>8</v>
          </cell>
          <cell r="M59">
            <v>4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8</v>
          </cell>
          <cell r="U59">
            <v>8</v>
          </cell>
          <cell r="V59">
            <v>8</v>
          </cell>
          <cell r="W59">
            <v>8</v>
          </cell>
          <cell r="X59">
            <v>8</v>
          </cell>
          <cell r="Y59">
            <v>8</v>
          </cell>
          <cell r="Z59">
            <v>8</v>
          </cell>
          <cell r="AA59">
            <v>8</v>
          </cell>
          <cell r="AB59">
            <v>8</v>
          </cell>
          <cell r="AC59">
            <v>8</v>
          </cell>
          <cell r="AD59">
            <v>0</v>
          </cell>
          <cell r="AE59">
            <v>8</v>
          </cell>
          <cell r="AF59">
            <v>8</v>
          </cell>
          <cell r="AG59">
            <v>8</v>
          </cell>
          <cell r="AH59">
            <v>8</v>
          </cell>
          <cell r="AI59">
            <v>8</v>
          </cell>
          <cell r="AJ59">
            <v>22.5</v>
          </cell>
          <cell r="AK59">
            <v>1</v>
          </cell>
          <cell r="AL59">
            <v>21.5</v>
          </cell>
          <cell r="AM59">
            <v>5.5</v>
          </cell>
          <cell r="AN59">
            <v>13.5625</v>
          </cell>
          <cell r="AO59">
            <v>108.5</v>
          </cell>
        </row>
        <row r="60">
          <cell r="B60">
            <v>10141</v>
          </cell>
          <cell r="C60" t="str">
            <v>A.ARLID</v>
          </cell>
          <cell r="D60" t="str">
            <v>ASSEMBLY</v>
          </cell>
          <cell r="E60">
            <v>0</v>
          </cell>
          <cell r="F60">
            <v>8</v>
          </cell>
          <cell r="G60">
            <v>8</v>
          </cell>
          <cell r="H60">
            <v>8</v>
          </cell>
          <cell r="I60">
            <v>8</v>
          </cell>
          <cell r="J60">
            <v>8</v>
          </cell>
          <cell r="K60">
            <v>8</v>
          </cell>
          <cell r="L60">
            <v>8</v>
          </cell>
          <cell r="M60">
            <v>8</v>
          </cell>
          <cell r="N60">
            <v>8</v>
          </cell>
          <cell r="O60">
            <v>8</v>
          </cell>
          <cell r="P60">
            <v>8</v>
          </cell>
          <cell r="Q60">
            <v>8</v>
          </cell>
          <cell r="R60">
            <v>0</v>
          </cell>
          <cell r="S60">
            <v>0</v>
          </cell>
          <cell r="T60">
            <v>0</v>
          </cell>
          <cell r="U60">
            <v>8</v>
          </cell>
          <cell r="V60">
            <v>8</v>
          </cell>
          <cell r="W60">
            <v>8</v>
          </cell>
          <cell r="X60">
            <v>8</v>
          </cell>
          <cell r="Y60">
            <v>8</v>
          </cell>
          <cell r="Z60">
            <v>8</v>
          </cell>
          <cell r="AA60">
            <v>8</v>
          </cell>
          <cell r="AB60">
            <v>8</v>
          </cell>
          <cell r="AC60">
            <v>8</v>
          </cell>
          <cell r="AD60">
            <v>0</v>
          </cell>
          <cell r="AE60">
            <v>8</v>
          </cell>
          <cell r="AF60">
            <v>8</v>
          </cell>
          <cell r="AG60">
            <v>8</v>
          </cell>
          <cell r="AH60">
            <v>8</v>
          </cell>
          <cell r="AI60">
            <v>8</v>
          </cell>
          <cell r="AJ60">
            <v>26</v>
          </cell>
          <cell r="AK60">
            <v>3</v>
          </cell>
          <cell r="AL60">
            <v>23</v>
          </cell>
          <cell r="AM60">
            <v>4</v>
          </cell>
          <cell r="AN60">
            <v>10.5</v>
          </cell>
          <cell r="AO60">
            <v>84</v>
          </cell>
        </row>
        <row r="61">
          <cell r="B61">
            <v>10143</v>
          </cell>
          <cell r="C61" t="str">
            <v>N.RAGUL</v>
          </cell>
          <cell r="D61" t="str">
            <v>ASSEMBLY</v>
          </cell>
          <cell r="E61">
            <v>8</v>
          </cell>
          <cell r="F61">
            <v>8</v>
          </cell>
          <cell r="G61">
            <v>8</v>
          </cell>
          <cell r="H61">
            <v>8</v>
          </cell>
          <cell r="I61">
            <v>0</v>
          </cell>
          <cell r="J61">
            <v>8</v>
          </cell>
          <cell r="K61">
            <v>8</v>
          </cell>
          <cell r="L61">
            <v>8</v>
          </cell>
          <cell r="M61">
            <v>8</v>
          </cell>
          <cell r="N61">
            <v>8</v>
          </cell>
          <cell r="O61">
            <v>8</v>
          </cell>
          <cell r="P61">
            <v>8</v>
          </cell>
          <cell r="Q61">
            <v>8</v>
          </cell>
          <cell r="R61">
            <v>8</v>
          </cell>
          <cell r="S61">
            <v>8</v>
          </cell>
          <cell r="T61">
            <v>8</v>
          </cell>
          <cell r="U61">
            <v>8</v>
          </cell>
          <cell r="V61">
            <v>8</v>
          </cell>
          <cell r="W61">
            <v>0</v>
          </cell>
          <cell r="X61">
            <v>8</v>
          </cell>
          <cell r="Y61">
            <v>8</v>
          </cell>
          <cell r="Z61">
            <v>8</v>
          </cell>
          <cell r="AA61">
            <v>8</v>
          </cell>
          <cell r="AB61">
            <v>0</v>
          </cell>
          <cell r="AC61">
            <v>8</v>
          </cell>
          <cell r="AD61">
            <v>0</v>
          </cell>
          <cell r="AE61">
            <v>8</v>
          </cell>
          <cell r="AF61">
            <v>8</v>
          </cell>
          <cell r="AG61">
            <v>8</v>
          </cell>
          <cell r="AH61">
            <v>8</v>
          </cell>
          <cell r="AI61">
            <v>8</v>
          </cell>
          <cell r="AJ61">
            <v>27</v>
          </cell>
          <cell r="AK61">
            <v>1</v>
          </cell>
          <cell r="AL61">
            <v>26</v>
          </cell>
          <cell r="AM61">
            <v>1</v>
          </cell>
          <cell r="AN61">
            <v>11</v>
          </cell>
          <cell r="AO61">
            <v>88</v>
          </cell>
        </row>
        <row r="62">
          <cell r="B62">
            <v>10154</v>
          </cell>
          <cell r="C62" t="str">
            <v>E.ESSAKIRAJA</v>
          </cell>
          <cell r="D62" t="str">
            <v>M.Shop</v>
          </cell>
          <cell r="E62">
            <v>8</v>
          </cell>
          <cell r="F62">
            <v>8</v>
          </cell>
          <cell r="G62">
            <v>8</v>
          </cell>
          <cell r="H62">
            <v>8</v>
          </cell>
          <cell r="I62">
            <v>0</v>
          </cell>
          <cell r="J62">
            <v>8</v>
          </cell>
          <cell r="K62">
            <v>8</v>
          </cell>
          <cell r="L62">
            <v>8</v>
          </cell>
          <cell r="M62">
            <v>8</v>
          </cell>
          <cell r="N62">
            <v>8</v>
          </cell>
          <cell r="O62">
            <v>0</v>
          </cell>
          <cell r="P62">
            <v>0</v>
          </cell>
          <cell r="Q62">
            <v>8</v>
          </cell>
          <cell r="R62">
            <v>8</v>
          </cell>
          <cell r="S62">
            <v>8</v>
          </cell>
          <cell r="T62">
            <v>8</v>
          </cell>
          <cell r="U62">
            <v>8</v>
          </cell>
          <cell r="V62">
            <v>8</v>
          </cell>
          <cell r="W62">
            <v>0</v>
          </cell>
          <cell r="X62">
            <v>8</v>
          </cell>
          <cell r="Y62">
            <v>8</v>
          </cell>
          <cell r="Z62">
            <v>8</v>
          </cell>
          <cell r="AA62">
            <v>8</v>
          </cell>
          <cell r="AB62">
            <v>8</v>
          </cell>
          <cell r="AC62">
            <v>8</v>
          </cell>
          <cell r="AD62">
            <v>0</v>
          </cell>
          <cell r="AE62">
            <v>8</v>
          </cell>
          <cell r="AF62">
            <v>0</v>
          </cell>
          <cell r="AG62">
            <v>8</v>
          </cell>
          <cell r="AH62">
            <v>8</v>
          </cell>
          <cell r="AI62">
            <v>8</v>
          </cell>
          <cell r="AJ62">
            <v>25</v>
          </cell>
          <cell r="AK62">
            <v>0</v>
          </cell>
          <cell r="AL62">
            <v>25</v>
          </cell>
          <cell r="AM62">
            <v>2</v>
          </cell>
          <cell r="AN62">
            <v>6.875</v>
          </cell>
          <cell r="AO62">
            <v>55</v>
          </cell>
        </row>
        <row r="63">
          <cell r="B63">
            <v>10157</v>
          </cell>
          <cell r="C63" t="str">
            <v>V.THIRUMOORTHY</v>
          </cell>
          <cell r="D63" t="str">
            <v>ASSEMBLY</v>
          </cell>
          <cell r="E63">
            <v>8</v>
          </cell>
          <cell r="F63">
            <v>8</v>
          </cell>
          <cell r="G63">
            <v>8</v>
          </cell>
          <cell r="H63">
            <v>8</v>
          </cell>
          <cell r="I63">
            <v>0</v>
          </cell>
          <cell r="J63">
            <v>8</v>
          </cell>
          <cell r="K63">
            <v>8</v>
          </cell>
          <cell r="L63">
            <v>8</v>
          </cell>
          <cell r="M63">
            <v>8</v>
          </cell>
          <cell r="N63">
            <v>8</v>
          </cell>
          <cell r="O63">
            <v>8</v>
          </cell>
          <cell r="P63">
            <v>8</v>
          </cell>
          <cell r="Q63">
            <v>8</v>
          </cell>
          <cell r="R63">
            <v>8</v>
          </cell>
          <cell r="S63">
            <v>8</v>
          </cell>
          <cell r="T63">
            <v>8</v>
          </cell>
          <cell r="U63">
            <v>8</v>
          </cell>
          <cell r="V63">
            <v>8</v>
          </cell>
          <cell r="W63">
            <v>0</v>
          </cell>
          <cell r="X63">
            <v>8</v>
          </cell>
          <cell r="Y63">
            <v>8</v>
          </cell>
          <cell r="Z63">
            <v>8</v>
          </cell>
          <cell r="AA63">
            <v>8</v>
          </cell>
          <cell r="AB63">
            <v>8</v>
          </cell>
          <cell r="AC63">
            <v>8</v>
          </cell>
          <cell r="AD63">
            <v>4</v>
          </cell>
          <cell r="AE63">
            <v>8</v>
          </cell>
          <cell r="AF63">
            <v>8</v>
          </cell>
          <cell r="AG63">
            <v>8</v>
          </cell>
          <cell r="AH63">
            <v>8</v>
          </cell>
          <cell r="AI63">
            <v>8</v>
          </cell>
          <cell r="AJ63">
            <v>28.5</v>
          </cell>
          <cell r="AK63">
            <v>1.5</v>
          </cell>
          <cell r="AL63">
            <v>27</v>
          </cell>
          <cell r="AM63">
            <v>0</v>
          </cell>
          <cell r="AN63">
            <v>11.5625</v>
          </cell>
          <cell r="AO63">
            <v>92.5</v>
          </cell>
        </row>
        <row r="64">
          <cell r="B64">
            <v>10158</v>
          </cell>
          <cell r="C64" t="str">
            <v>S.KARTHIKEYAN</v>
          </cell>
          <cell r="D64" t="str">
            <v>ELECTRICAL</v>
          </cell>
          <cell r="E64">
            <v>8</v>
          </cell>
          <cell r="F64">
            <v>8</v>
          </cell>
          <cell r="G64">
            <v>8</v>
          </cell>
          <cell r="H64">
            <v>8</v>
          </cell>
          <cell r="I64">
            <v>8</v>
          </cell>
          <cell r="J64">
            <v>8</v>
          </cell>
          <cell r="K64">
            <v>8</v>
          </cell>
          <cell r="L64">
            <v>8</v>
          </cell>
          <cell r="M64">
            <v>8</v>
          </cell>
          <cell r="N64">
            <v>8</v>
          </cell>
          <cell r="O64">
            <v>8</v>
          </cell>
          <cell r="P64">
            <v>8</v>
          </cell>
          <cell r="Q64">
            <v>8</v>
          </cell>
          <cell r="R64">
            <v>8</v>
          </cell>
          <cell r="S64">
            <v>8</v>
          </cell>
          <cell r="T64">
            <v>8</v>
          </cell>
          <cell r="U64">
            <v>8</v>
          </cell>
          <cell r="V64">
            <v>8</v>
          </cell>
          <cell r="W64">
            <v>8</v>
          </cell>
          <cell r="X64">
            <v>8</v>
          </cell>
          <cell r="Y64">
            <v>8</v>
          </cell>
          <cell r="Z64">
            <v>8</v>
          </cell>
          <cell r="AA64">
            <v>4</v>
          </cell>
          <cell r="AB64">
            <v>8</v>
          </cell>
          <cell r="AC64">
            <v>8</v>
          </cell>
          <cell r="AD64">
            <v>8</v>
          </cell>
          <cell r="AE64">
            <v>8</v>
          </cell>
          <cell r="AF64">
            <v>8</v>
          </cell>
          <cell r="AG64">
            <v>8</v>
          </cell>
          <cell r="AH64">
            <v>8</v>
          </cell>
          <cell r="AI64">
            <v>8</v>
          </cell>
          <cell r="AJ64">
            <v>30.5</v>
          </cell>
          <cell r="AK64">
            <v>4</v>
          </cell>
          <cell r="AL64">
            <v>26.5</v>
          </cell>
          <cell r="AM64">
            <v>0.5</v>
          </cell>
          <cell r="AN64">
            <v>13.5625</v>
          </cell>
          <cell r="AO64">
            <v>108.5</v>
          </cell>
        </row>
        <row r="65">
          <cell r="B65">
            <v>10164</v>
          </cell>
          <cell r="C65" t="str">
            <v>N.POOSAIDURAI</v>
          </cell>
          <cell r="D65" t="str">
            <v>ASSEMBLY</v>
          </cell>
          <cell r="E65">
            <v>8</v>
          </cell>
          <cell r="F65">
            <v>8</v>
          </cell>
          <cell r="G65">
            <v>8</v>
          </cell>
          <cell r="H65">
            <v>8</v>
          </cell>
          <cell r="I65">
            <v>0</v>
          </cell>
          <cell r="J65">
            <v>8</v>
          </cell>
          <cell r="K65">
            <v>8</v>
          </cell>
          <cell r="L65">
            <v>8</v>
          </cell>
          <cell r="M65">
            <v>8</v>
          </cell>
          <cell r="N65">
            <v>8</v>
          </cell>
          <cell r="O65">
            <v>8</v>
          </cell>
          <cell r="P65">
            <v>0</v>
          </cell>
          <cell r="Q65">
            <v>8</v>
          </cell>
          <cell r="R65">
            <v>0</v>
          </cell>
          <cell r="S65">
            <v>8</v>
          </cell>
          <cell r="T65">
            <v>8</v>
          </cell>
          <cell r="U65">
            <v>8</v>
          </cell>
          <cell r="V65">
            <v>8</v>
          </cell>
          <cell r="W65">
            <v>0</v>
          </cell>
          <cell r="X65">
            <v>8</v>
          </cell>
          <cell r="Y65">
            <v>8</v>
          </cell>
          <cell r="Z65">
            <v>8</v>
          </cell>
          <cell r="AA65">
            <v>8</v>
          </cell>
          <cell r="AB65">
            <v>8</v>
          </cell>
          <cell r="AC65">
            <v>8</v>
          </cell>
          <cell r="AD65">
            <v>0</v>
          </cell>
          <cell r="AE65">
            <v>8</v>
          </cell>
          <cell r="AF65">
            <v>8</v>
          </cell>
          <cell r="AG65">
            <v>8</v>
          </cell>
          <cell r="AH65">
            <v>8</v>
          </cell>
          <cell r="AI65">
            <v>8</v>
          </cell>
          <cell r="AJ65">
            <v>26</v>
          </cell>
          <cell r="AK65">
            <v>0</v>
          </cell>
          <cell r="AL65">
            <v>26</v>
          </cell>
          <cell r="AM65">
            <v>1</v>
          </cell>
          <cell r="AN65">
            <v>6.9375</v>
          </cell>
          <cell r="AO65">
            <v>55.5</v>
          </cell>
        </row>
        <row r="66">
          <cell r="B66">
            <v>10177</v>
          </cell>
          <cell r="C66" t="str">
            <v>S.SARAN</v>
          </cell>
          <cell r="D66" t="str">
            <v>M.Shop</v>
          </cell>
          <cell r="E66">
            <v>8</v>
          </cell>
          <cell r="F66">
            <v>8</v>
          </cell>
          <cell r="G66">
            <v>8</v>
          </cell>
          <cell r="H66">
            <v>8</v>
          </cell>
          <cell r="I66">
            <v>0</v>
          </cell>
          <cell r="J66">
            <v>8</v>
          </cell>
          <cell r="K66">
            <v>8</v>
          </cell>
          <cell r="L66">
            <v>8</v>
          </cell>
          <cell r="M66">
            <v>8</v>
          </cell>
          <cell r="N66">
            <v>8</v>
          </cell>
          <cell r="O66">
            <v>8</v>
          </cell>
          <cell r="P66">
            <v>0</v>
          </cell>
          <cell r="Q66">
            <v>8</v>
          </cell>
          <cell r="R66">
            <v>8</v>
          </cell>
          <cell r="S66">
            <v>8</v>
          </cell>
          <cell r="T66">
            <v>8</v>
          </cell>
          <cell r="U66">
            <v>8</v>
          </cell>
          <cell r="V66">
            <v>8</v>
          </cell>
          <cell r="W66">
            <v>0</v>
          </cell>
          <cell r="X66">
            <v>8</v>
          </cell>
          <cell r="Y66">
            <v>8</v>
          </cell>
          <cell r="Z66">
            <v>8</v>
          </cell>
          <cell r="AA66">
            <v>8</v>
          </cell>
          <cell r="AB66">
            <v>8</v>
          </cell>
          <cell r="AC66">
            <v>8</v>
          </cell>
          <cell r="AD66">
            <v>8</v>
          </cell>
          <cell r="AE66">
            <v>8</v>
          </cell>
          <cell r="AF66">
            <v>8</v>
          </cell>
          <cell r="AG66">
            <v>8</v>
          </cell>
          <cell r="AH66">
            <v>8</v>
          </cell>
          <cell r="AI66">
            <v>8</v>
          </cell>
          <cell r="AJ66">
            <v>28</v>
          </cell>
          <cell r="AK66">
            <v>1</v>
          </cell>
          <cell r="AL66">
            <v>27</v>
          </cell>
          <cell r="AM66">
            <v>0</v>
          </cell>
          <cell r="AN66">
            <v>10.125</v>
          </cell>
          <cell r="AO66">
            <v>81</v>
          </cell>
        </row>
        <row r="67">
          <cell r="B67">
            <v>10179</v>
          </cell>
          <cell r="C67" t="str">
            <v>R.PERUMAL RAJA</v>
          </cell>
          <cell r="D67" t="str">
            <v>ASSEMBLY</v>
          </cell>
          <cell r="E67">
            <v>8</v>
          </cell>
          <cell r="F67">
            <v>8</v>
          </cell>
          <cell r="G67">
            <v>8</v>
          </cell>
          <cell r="H67">
            <v>8</v>
          </cell>
          <cell r="I67">
            <v>0</v>
          </cell>
          <cell r="J67">
            <v>8</v>
          </cell>
          <cell r="K67">
            <v>8</v>
          </cell>
          <cell r="L67">
            <v>8</v>
          </cell>
          <cell r="M67">
            <v>8</v>
          </cell>
          <cell r="N67">
            <v>8</v>
          </cell>
          <cell r="O67">
            <v>8</v>
          </cell>
          <cell r="P67">
            <v>8</v>
          </cell>
          <cell r="Q67">
            <v>8</v>
          </cell>
          <cell r="R67">
            <v>8</v>
          </cell>
          <cell r="S67">
            <v>8</v>
          </cell>
          <cell r="T67">
            <v>8</v>
          </cell>
          <cell r="U67">
            <v>8</v>
          </cell>
          <cell r="V67">
            <v>8</v>
          </cell>
          <cell r="W67">
            <v>0</v>
          </cell>
          <cell r="X67">
            <v>8</v>
          </cell>
          <cell r="Y67">
            <v>8</v>
          </cell>
          <cell r="Z67">
            <v>8</v>
          </cell>
          <cell r="AA67">
            <v>8</v>
          </cell>
          <cell r="AB67">
            <v>8</v>
          </cell>
          <cell r="AC67">
            <v>8</v>
          </cell>
          <cell r="AD67">
            <v>0</v>
          </cell>
          <cell r="AE67">
            <v>8</v>
          </cell>
          <cell r="AF67">
            <v>8</v>
          </cell>
          <cell r="AG67">
            <v>8</v>
          </cell>
          <cell r="AH67">
            <v>8</v>
          </cell>
          <cell r="AI67">
            <v>8</v>
          </cell>
          <cell r="AJ67">
            <v>28</v>
          </cell>
          <cell r="AK67">
            <v>1</v>
          </cell>
          <cell r="AL67">
            <v>27</v>
          </cell>
          <cell r="AM67">
            <v>0</v>
          </cell>
          <cell r="AN67">
            <v>11.3125</v>
          </cell>
          <cell r="AO67">
            <v>90.5</v>
          </cell>
        </row>
        <row r="68">
          <cell r="B68">
            <v>10185</v>
          </cell>
          <cell r="C68" t="str">
            <v>M.HARIHARASUDHAN</v>
          </cell>
          <cell r="D68" t="str">
            <v>M.Shop</v>
          </cell>
          <cell r="E68">
            <v>8</v>
          </cell>
          <cell r="F68">
            <v>8</v>
          </cell>
          <cell r="G68">
            <v>8</v>
          </cell>
          <cell r="H68">
            <v>4</v>
          </cell>
          <cell r="I68">
            <v>0</v>
          </cell>
          <cell r="J68">
            <v>8</v>
          </cell>
          <cell r="K68">
            <v>8</v>
          </cell>
          <cell r="L68">
            <v>8</v>
          </cell>
          <cell r="M68">
            <v>8</v>
          </cell>
          <cell r="N68">
            <v>8</v>
          </cell>
          <cell r="O68">
            <v>0</v>
          </cell>
          <cell r="P68">
            <v>0</v>
          </cell>
          <cell r="Q68">
            <v>8</v>
          </cell>
          <cell r="R68">
            <v>8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8</v>
          </cell>
          <cell r="AD68">
            <v>0</v>
          </cell>
          <cell r="AE68">
            <v>8</v>
          </cell>
          <cell r="AF68">
            <v>8</v>
          </cell>
          <cell r="AG68">
            <v>8</v>
          </cell>
          <cell r="AH68">
            <v>8</v>
          </cell>
          <cell r="AI68">
            <v>8</v>
          </cell>
          <cell r="AJ68">
            <v>16.5</v>
          </cell>
          <cell r="AK68">
            <v>0</v>
          </cell>
          <cell r="AL68">
            <v>16.5</v>
          </cell>
          <cell r="AM68">
            <v>10.5</v>
          </cell>
          <cell r="AN68">
            <v>3.875</v>
          </cell>
          <cell r="AO68">
            <v>31</v>
          </cell>
        </row>
        <row r="69">
          <cell r="B69">
            <v>10194</v>
          </cell>
          <cell r="C69" t="str">
            <v>M.MATHAN KUMAR</v>
          </cell>
          <cell r="D69" t="str">
            <v>ASSEMBLY</v>
          </cell>
          <cell r="E69">
            <v>8</v>
          </cell>
          <cell r="F69">
            <v>8</v>
          </cell>
          <cell r="G69">
            <v>8</v>
          </cell>
          <cell r="H69">
            <v>8</v>
          </cell>
          <cell r="I69">
            <v>0</v>
          </cell>
          <cell r="J69">
            <v>8</v>
          </cell>
          <cell r="K69">
            <v>8</v>
          </cell>
          <cell r="L69">
            <v>8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7</v>
          </cell>
          <cell r="AK69">
            <v>0</v>
          </cell>
          <cell r="AL69">
            <v>7</v>
          </cell>
          <cell r="AM69">
            <v>20</v>
          </cell>
          <cell r="AN69">
            <v>2.1875</v>
          </cell>
          <cell r="AO69">
            <v>17.5</v>
          </cell>
        </row>
        <row r="70">
          <cell r="B70">
            <v>10196</v>
          </cell>
          <cell r="C70" t="str">
            <v>M.ESAKKI RAJA</v>
          </cell>
          <cell r="D70" t="str">
            <v>M.Shop</v>
          </cell>
          <cell r="E70">
            <v>8</v>
          </cell>
          <cell r="F70">
            <v>8</v>
          </cell>
          <cell r="G70">
            <v>8</v>
          </cell>
          <cell r="H70">
            <v>8</v>
          </cell>
          <cell r="I70">
            <v>0</v>
          </cell>
          <cell r="J70">
            <v>8</v>
          </cell>
          <cell r="K70">
            <v>8</v>
          </cell>
          <cell r="L70">
            <v>8</v>
          </cell>
          <cell r="M70">
            <v>8</v>
          </cell>
          <cell r="N70">
            <v>8</v>
          </cell>
          <cell r="O70">
            <v>8</v>
          </cell>
          <cell r="P70">
            <v>8</v>
          </cell>
          <cell r="Q70">
            <v>8</v>
          </cell>
          <cell r="R70">
            <v>8</v>
          </cell>
          <cell r="S70">
            <v>0</v>
          </cell>
          <cell r="T70">
            <v>8</v>
          </cell>
          <cell r="U70">
            <v>8</v>
          </cell>
          <cell r="V70">
            <v>8</v>
          </cell>
          <cell r="W70">
            <v>0</v>
          </cell>
          <cell r="X70">
            <v>8</v>
          </cell>
          <cell r="Y70">
            <v>8</v>
          </cell>
          <cell r="Z70">
            <v>8</v>
          </cell>
          <cell r="AA70">
            <v>8</v>
          </cell>
          <cell r="AB70">
            <v>8</v>
          </cell>
          <cell r="AC70">
            <v>8</v>
          </cell>
          <cell r="AD70">
            <v>0</v>
          </cell>
          <cell r="AE70">
            <v>0</v>
          </cell>
          <cell r="AF70">
            <v>0</v>
          </cell>
          <cell r="AG70">
            <v>8</v>
          </cell>
          <cell r="AH70">
            <v>8</v>
          </cell>
          <cell r="AI70">
            <v>8</v>
          </cell>
          <cell r="AJ70">
            <v>25</v>
          </cell>
          <cell r="AK70">
            <v>1</v>
          </cell>
          <cell r="AL70">
            <v>24</v>
          </cell>
          <cell r="AM70">
            <v>3</v>
          </cell>
          <cell r="AN70">
            <v>10.0625</v>
          </cell>
          <cell r="AO70">
            <v>80.5</v>
          </cell>
        </row>
        <row r="71">
          <cell r="B71">
            <v>10202</v>
          </cell>
          <cell r="C71" t="str">
            <v>R.RAGUL</v>
          </cell>
          <cell r="D71" t="str">
            <v>MAINTENANCE</v>
          </cell>
          <cell r="E71">
            <v>8</v>
          </cell>
          <cell r="F71">
            <v>8</v>
          </cell>
          <cell r="G71">
            <v>8</v>
          </cell>
          <cell r="H71">
            <v>8</v>
          </cell>
          <cell r="I71">
            <v>0</v>
          </cell>
          <cell r="J71">
            <v>8</v>
          </cell>
          <cell r="K71">
            <v>8</v>
          </cell>
          <cell r="L71">
            <v>8</v>
          </cell>
          <cell r="M71">
            <v>8</v>
          </cell>
          <cell r="N71">
            <v>8</v>
          </cell>
          <cell r="O71">
            <v>8</v>
          </cell>
          <cell r="P71">
            <v>0</v>
          </cell>
          <cell r="Q71">
            <v>8</v>
          </cell>
          <cell r="R71">
            <v>8</v>
          </cell>
          <cell r="S71">
            <v>8</v>
          </cell>
          <cell r="T71">
            <v>8</v>
          </cell>
          <cell r="U71">
            <v>8</v>
          </cell>
          <cell r="V71">
            <v>8</v>
          </cell>
          <cell r="W71">
            <v>0</v>
          </cell>
          <cell r="X71">
            <v>8</v>
          </cell>
          <cell r="Y71">
            <v>8</v>
          </cell>
          <cell r="Z71">
            <v>8</v>
          </cell>
          <cell r="AA71">
            <v>8</v>
          </cell>
          <cell r="AB71">
            <v>8</v>
          </cell>
          <cell r="AC71">
            <v>8</v>
          </cell>
          <cell r="AD71">
            <v>0</v>
          </cell>
          <cell r="AE71">
            <v>8</v>
          </cell>
          <cell r="AF71">
            <v>8</v>
          </cell>
          <cell r="AG71">
            <v>8</v>
          </cell>
          <cell r="AH71">
            <v>8</v>
          </cell>
          <cell r="AI71">
            <v>8</v>
          </cell>
          <cell r="AJ71">
            <v>27</v>
          </cell>
          <cell r="AK71">
            <v>0</v>
          </cell>
          <cell r="AL71">
            <v>27</v>
          </cell>
          <cell r="AM71">
            <v>0</v>
          </cell>
          <cell r="AN71">
            <v>7</v>
          </cell>
          <cell r="AO71">
            <v>56</v>
          </cell>
        </row>
        <row r="72">
          <cell r="B72">
            <v>10203</v>
          </cell>
          <cell r="C72" t="str">
            <v>R.PERIYASAMY</v>
          </cell>
          <cell r="D72" t="str">
            <v>FABRICATION</v>
          </cell>
          <cell r="E72">
            <v>8</v>
          </cell>
          <cell r="F72">
            <v>8</v>
          </cell>
          <cell r="G72">
            <v>8</v>
          </cell>
          <cell r="H72">
            <v>4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8</v>
          </cell>
          <cell r="N72">
            <v>8</v>
          </cell>
          <cell r="O72">
            <v>8</v>
          </cell>
          <cell r="P72">
            <v>0</v>
          </cell>
          <cell r="Q72">
            <v>8</v>
          </cell>
          <cell r="R72">
            <v>8</v>
          </cell>
          <cell r="S72">
            <v>8</v>
          </cell>
          <cell r="T72">
            <v>8</v>
          </cell>
          <cell r="U72">
            <v>8</v>
          </cell>
          <cell r="V72">
            <v>8</v>
          </cell>
          <cell r="W72">
            <v>0</v>
          </cell>
          <cell r="X72">
            <v>0</v>
          </cell>
          <cell r="Y72">
            <v>8</v>
          </cell>
          <cell r="Z72">
            <v>8</v>
          </cell>
          <cell r="AA72">
            <v>8</v>
          </cell>
          <cell r="AB72">
            <v>8</v>
          </cell>
          <cell r="AC72">
            <v>8</v>
          </cell>
          <cell r="AD72">
            <v>0</v>
          </cell>
          <cell r="AE72">
            <v>4</v>
          </cell>
          <cell r="AF72">
            <v>8</v>
          </cell>
          <cell r="AG72">
            <v>8</v>
          </cell>
          <cell r="AH72">
            <v>8</v>
          </cell>
          <cell r="AI72">
            <v>8</v>
          </cell>
          <cell r="AJ72">
            <v>22</v>
          </cell>
          <cell r="AK72">
            <v>0</v>
          </cell>
          <cell r="AL72">
            <v>22</v>
          </cell>
          <cell r="AM72">
            <v>5</v>
          </cell>
          <cell r="AN72">
            <v>7.1875</v>
          </cell>
          <cell r="AO72">
            <v>57.5</v>
          </cell>
        </row>
        <row r="73">
          <cell r="B73">
            <v>10204</v>
          </cell>
          <cell r="C73" t="str">
            <v>M.THANGA KARTHIK</v>
          </cell>
          <cell r="D73" t="str">
            <v>M.Shop</v>
          </cell>
          <cell r="E73">
            <v>8</v>
          </cell>
          <cell r="F73">
            <v>8</v>
          </cell>
          <cell r="G73">
            <v>8</v>
          </cell>
          <cell r="H73">
            <v>8</v>
          </cell>
          <cell r="I73">
            <v>0</v>
          </cell>
          <cell r="J73">
            <v>8</v>
          </cell>
          <cell r="K73">
            <v>8</v>
          </cell>
          <cell r="L73">
            <v>8</v>
          </cell>
          <cell r="M73">
            <v>8</v>
          </cell>
          <cell r="N73">
            <v>8</v>
          </cell>
          <cell r="O73">
            <v>8</v>
          </cell>
          <cell r="P73">
            <v>0</v>
          </cell>
          <cell r="Q73">
            <v>8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8</v>
          </cell>
          <cell r="AB73">
            <v>8</v>
          </cell>
          <cell r="AC73">
            <v>8</v>
          </cell>
          <cell r="AD73">
            <v>0</v>
          </cell>
          <cell r="AE73">
            <v>8</v>
          </cell>
          <cell r="AF73">
            <v>8</v>
          </cell>
          <cell r="AG73">
            <v>8</v>
          </cell>
          <cell r="AH73">
            <v>8</v>
          </cell>
          <cell r="AI73">
            <v>8</v>
          </cell>
          <cell r="AJ73">
            <v>19</v>
          </cell>
          <cell r="AK73">
            <v>0</v>
          </cell>
          <cell r="AL73">
            <v>19</v>
          </cell>
          <cell r="AM73">
            <v>8</v>
          </cell>
          <cell r="AN73">
            <v>7.3125</v>
          </cell>
          <cell r="AO73">
            <v>58.5</v>
          </cell>
        </row>
        <row r="74">
          <cell r="B74">
            <v>10205</v>
          </cell>
          <cell r="C74" t="str">
            <v>ARUNACHALAM</v>
          </cell>
          <cell r="D74" t="str">
            <v>M.Shop</v>
          </cell>
          <cell r="E74">
            <v>8</v>
          </cell>
          <cell r="F74">
            <v>8</v>
          </cell>
          <cell r="G74">
            <v>0</v>
          </cell>
          <cell r="H74">
            <v>0</v>
          </cell>
          <cell r="I74">
            <v>0</v>
          </cell>
          <cell r="J74">
            <v>8</v>
          </cell>
          <cell r="K74">
            <v>8</v>
          </cell>
          <cell r="L74">
            <v>8</v>
          </cell>
          <cell r="M74">
            <v>8</v>
          </cell>
          <cell r="N74">
            <v>8</v>
          </cell>
          <cell r="O74">
            <v>8</v>
          </cell>
          <cell r="P74">
            <v>0</v>
          </cell>
          <cell r="Q74">
            <v>8</v>
          </cell>
          <cell r="R74">
            <v>8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8</v>
          </cell>
          <cell r="AB74">
            <v>8</v>
          </cell>
          <cell r="AC74">
            <v>8</v>
          </cell>
          <cell r="AD74">
            <v>8</v>
          </cell>
          <cell r="AE74">
            <v>8</v>
          </cell>
          <cell r="AF74">
            <v>8</v>
          </cell>
          <cell r="AG74">
            <v>8</v>
          </cell>
          <cell r="AH74">
            <v>8</v>
          </cell>
          <cell r="AI74">
            <v>8</v>
          </cell>
          <cell r="AJ74">
            <v>19</v>
          </cell>
          <cell r="AK74">
            <v>1</v>
          </cell>
          <cell r="AL74">
            <v>18</v>
          </cell>
          <cell r="AM74">
            <v>9</v>
          </cell>
          <cell r="AN74">
            <v>5.4375</v>
          </cell>
          <cell r="AO74">
            <v>43.5</v>
          </cell>
        </row>
        <row r="75">
          <cell r="B75">
            <v>10206</v>
          </cell>
          <cell r="C75" t="str">
            <v>S.VEERAMANI</v>
          </cell>
          <cell r="D75" t="str">
            <v>M.Shop</v>
          </cell>
          <cell r="E75">
            <v>8</v>
          </cell>
          <cell r="F75">
            <v>8</v>
          </cell>
          <cell r="G75">
            <v>8</v>
          </cell>
          <cell r="H75">
            <v>8</v>
          </cell>
          <cell r="I75">
            <v>8</v>
          </cell>
          <cell r="J75">
            <v>8</v>
          </cell>
          <cell r="K75">
            <v>8</v>
          </cell>
          <cell r="L75">
            <v>8</v>
          </cell>
          <cell r="M75">
            <v>8</v>
          </cell>
          <cell r="N75">
            <v>8</v>
          </cell>
          <cell r="O75">
            <v>8</v>
          </cell>
          <cell r="P75">
            <v>0</v>
          </cell>
          <cell r="Q75">
            <v>8</v>
          </cell>
          <cell r="R75">
            <v>8</v>
          </cell>
          <cell r="S75">
            <v>8</v>
          </cell>
          <cell r="T75">
            <v>8</v>
          </cell>
          <cell r="U75">
            <v>8</v>
          </cell>
          <cell r="V75">
            <v>8</v>
          </cell>
          <cell r="W75">
            <v>0</v>
          </cell>
          <cell r="X75">
            <v>8</v>
          </cell>
          <cell r="Y75">
            <v>8</v>
          </cell>
          <cell r="Z75">
            <v>8</v>
          </cell>
          <cell r="AA75">
            <v>8</v>
          </cell>
          <cell r="AB75">
            <v>8</v>
          </cell>
          <cell r="AC75">
            <v>8</v>
          </cell>
          <cell r="AD75">
            <v>0</v>
          </cell>
          <cell r="AE75">
            <v>8</v>
          </cell>
          <cell r="AF75">
            <v>8</v>
          </cell>
          <cell r="AG75">
            <v>8</v>
          </cell>
          <cell r="AH75">
            <v>8</v>
          </cell>
          <cell r="AI75">
            <v>8</v>
          </cell>
          <cell r="AJ75">
            <v>28</v>
          </cell>
          <cell r="AK75">
            <v>1</v>
          </cell>
          <cell r="AL75">
            <v>27</v>
          </cell>
          <cell r="AM75">
            <v>0</v>
          </cell>
          <cell r="AN75">
            <v>11.75</v>
          </cell>
          <cell r="AO75">
            <v>94</v>
          </cell>
        </row>
        <row r="76">
          <cell r="B76">
            <v>10207</v>
          </cell>
          <cell r="C76" t="str">
            <v>M.PECHIMUTHU</v>
          </cell>
          <cell r="D76" t="str">
            <v>M.Shop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8</v>
          </cell>
          <cell r="AF76">
            <v>8</v>
          </cell>
          <cell r="AG76">
            <v>8</v>
          </cell>
          <cell r="AH76">
            <v>8</v>
          </cell>
          <cell r="AI76">
            <v>8</v>
          </cell>
          <cell r="AJ76">
            <v>5</v>
          </cell>
          <cell r="AK76">
            <v>0</v>
          </cell>
          <cell r="AL76">
            <v>5</v>
          </cell>
          <cell r="AM76">
            <v>22</v>
          </cell>
          <cell r="AN76">
            <v>2.6875</v>
          </cell>
          <cell r="AO76">
            <v>21.5</v>
          </cell>
        </row>
        <row r="77">
          <cell r="B77">
            <v>10611</v>
          </cell>
          <cell r="C77" t="str">
            <v>MANOJ KUMAR</v>
          </cell>
          <cell r="D77" t="str">
            <v>FABRICATION - HINDI</v>
          </cell>
          <cell r="E77">
            <v>8</v>
          </cell>
          <cell r="F77">
            <v>8</v>
          </cell>
          <cell r="G77">
            <v>8</v>
          </cell>
          <cell r="H77">
            <v>8</v>
          </cell>
          <cell r="I77">
            <v>8</v>
          </cell>
          <cell r="J77">
            <v>8</v>
          </cell>
          <cell r="K77">
            <v>8</v>
          </cell>
          <cell r="L77">
            <v>8</v>
          </cell>
          <cell r="M77">
            <v>8</v>
          </cell>
          <cell r="N77">
            <v>8</v>
          </cell>
          <cell r="O77">
            <v>8</v>
          </cell>
          <cell r="P77">
            <v>8</v>
          </cell>
          <cell r="Q77">
            <v>8</v>
          </cell>
          <cell r="R77">
            <v>8</v>
          </cell>
          <cell r="S77">
            <v>8</v>
          </cell>
          <cell r="T77">
            <v>8</v>
          </cell>
          <cell r="U77">
            <v>8</v>
          </cell>
          <cell r="V77">
            <v>8</v>
          </cell>
          <cell r="W77">
            <v>8</v>
          </cell>
          <cell r="X77">
            <v>8</v>
          </cell>
          <cell r="Y77">
            <v>8</v>
          </cell>
          <cell r="Z77">
            <v>8</v>
          </cell>
          <cell r="AA77">
            <v>8</v>
          </cell>
          <cell r="AB77">
            <v>8</v>
          </cell>
          <cell r="AC77">
            <v>8</v>
          </cell>
          <cell r="AD77">
            <v>8</v>
          </cell>
          <cell r="AE77">
            <v>8</v>
          </cell>
          <cell r="AF77">
            <v>8</v>
          </cell>
          <cell r="AG77">
            <v>8</v>
          </cell>
          <cell r="AH77">
            <v>8</v>
          </cell>
          <cell r="AI77">
            <v>8</v>
          </cell>
          <cell r="AJ77">
            <v>31</v>
          </cell>
          <cell r="AK77">
            <v>4</v>
          </cell>
          <cell r="AL77">
            <v>27</v>
          </cell>
          <cell r="AM77">
            <v>0</v>
          </cell>
          <cell r="AN77">
            <v>10.9375</v>
          </cell>
          <cell r="AO77">
            <v>87.5</v>
          </cell>
        </row>
        <row r="78">
          <cell r="B78">
            <v>10612</v>
          </cell>
          <cell r="C78" t="str">
            <v>V.RAMESHKUMAR</v>
          </cell>
          <cell r="D78" t="str">
            <v>FABRICATION - HINDI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8</v>
          </cell>
          <cell r="M78">
            <v>8</v>
          </cell>
          <cell r="N78">
            <v>8</v>
          </cell>
          <cell r="O78">
            <v>8</v>
          </cell>
          <cell r="P78">
            <v>8</v>
          </cell>
          <cell r="Q78">
            <v>8</v>
          </cell>
          <cell r="R78">
            <v>8</v>
          </cell>
          <cell r="S78">
            <v>8</v>
          </cell>
          <cell r="T78">
            <v>8</v>
          </cell>
          <cell r="U78">
            <v>8</v>
          </cell>
          <cell r="V78">
            <v>8</v>
          </cell>
          <cell r="W78">
            <v>8</v>
          </cell>
          <cell r="X78">
            <v>8</v>
          </cell>
          <cell r="Y78">
            <v>8</v>
          </cell>
          <cell r="Z78">
            <v>8</v>
          </cell>
          <cell r="AA78">
            <v>8</v>
          </cell>
          <cell r="AB78">
            <v>8</v>
          </cell>
          <cell r="AC78">
            <v>8</v>
          </cell>
          <cell r="AD78">
            <v>8</v>
          </cell>
          <cell r="AE78">
            <v>8</v>
          </cell>
          <cell r="AF78">
            <v>8</v>
          </cell>
          <cell r="AG78">
            <v>8</v>
          </cell>
          <cell r="AH78">
            <v>8</v>
          </cell>
          <cell r="AI78">
            <v>8</v>
          </cell>
          <cell r="AJ78">
            <v>24</v>
          </cell>
          <cell r="AK78">
            <v>3</v>
          </cell>
          <cell r="AL78">
            <v>21</v>
          </cell>
          <cell r="AM78">
            <v>6</v>
          </cell>
          <cell r="AN78">
            <v>8.3125</v>
          </cell>
          <cell r="AO78">
            <v>66.5</v>
          </cell>
        </row>
        <row r="79">
          <cell r="B79">
            <v>10613</v>
          </cell>
          <cell r="C79" t="str">
            <v>A.PREM RAJKUMAR</v>
          </cell>
          <cell r="D79" t="str">
            <v>FABRICATION - HINDI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8</v>
          </cell>
          <cell r="AF79">
            <v>8</v>
          </cell>
          <cell r="AG79">
            <v>8</v>
          </cell>
          <cell r="AH79">
            <v>8</v>
          </cell>
          <cell r="AI79">
            <v>8</v>
          </cell>
          <cell r="AJ79">
            <v>5</v>
          </cell>
          <cell r="AK79">
            <v>0</v>
          </cell>
          <cell r="AL79">
            <v>5</v>
          </cell>
          <cell r="AM79">
            <v>22</v>
          </cell>
          <cell r="AN79">
            <v>1.6875</v>
          </cell>
          <cell r="AO79">
            <v>13.5</v>
          </cell>
        </row>
        <row r="80">
          <cell r="B80">
            <v>10614</v>
          </cell>
          <cell r="C80" t="str">
            <v>SHIVAKUMAR</v>
          </cell>
          <cell r="D80" t="str">
            <v>FABRICATION - HINDI</v>
          </cell>
          <cell r="E80">
            <v>8</v>
          </cell>
          <cell r="F80">
            <v>8</v>
          </cell>
          <cell r="G80">
            <v>8</v>
          </cell>
          <cell r="H80">
            <v>8</v>
          </cell>
          <cell r="I80">
            <v>8</v>
          </cell>
          <cell r="J80">
            <v>8</v>
          </cell>
          <cell r="K80">
            <v>8</v>
          </cell>
          <cell r="L80">
            <v>8</v>
          </cell>
          <cell r="M80">
            <v>8</v>
          </cell>
          <cell r="N80">
            <v>8</v>
          </cell>
          <cell r="O80">
            <v>8</v>
          </cell>
          <cell r="P80">
            <v>8</v>
          </cell>
          <cell r="Q80">
            <v>8</v>
          </cell>
          <cell r="R80">
            <v>8</v>
          </cell>
          <cell r="S80">
            <v>8</v>
          </cell>
          <cell r="T80">
            <v>8</v>
          </cell>
          <cell r="U80">
            <v>8</v>
          </cell>
          <cell r="V80">
            <v>8</v>
          </cell>
          <cell r="W80">
            <v>8</v>
          </cell>
          <cell r="X80">
            <v>8</v>
          </cell>
          <cell r="Y80">
            <v>8</v>
          </cell>
          <cell r="Z80">
            <v>8</v>
          </cell>
          <cell r="AA80">
            <v>8</v>
          </cell>
          <cell r="AB80">
            <v>8</v>
          </cell>
          <cell r="AC80">
            <v>8</v>
          </cell>
          <cell r="AD80">
            <v>8</v>
          </cell>
          <cell r="AE80">
            <v>8</v>
          </cell>
          <cell r="AF80">
            <v>8</v>
          </cell>
          <cell r="AG80">
            <v>8</v>
          </cell>
          <cell r="AH80">
            <v>8</v>
          </cell>
          <cell r="AI80">
            <v>8</v>
          </cell>
          <cell r="AJ80">
            <v>31</v>
          </cell>
          <cell r="AK80">
            <v>4</v>
          </cell>
          <cell r="AL80">
            <v>27</v>
          </cell>
          <cell r="AM80">
            <v>0</v>
          </cell>
          <cell r="AN80">
            <v>11.25</v>
          </cell>
          <cell r="AO80">
            <v>90</v>
          </cell>
        </row>
        <row r="81">
          <cell r="B81">
            <v>10615</v>
          </cell>
          <cell r="C81" t="str">
            <v>R.SUSIL PASWAN</v>
          </cell>
          <cell r="D81" t="str">
            <v>FABRICATION - HINDI</v>
          </cell>
          <cell r="E81">
            <v>8</v>
          </cell>
          <cell r="F81">
            <v>8</v>
          </cell>
          <cell r="G81">
            <v>8</v>
          </cell>
          <cell r="H81">
            <v>8</v>
          </cell>
          <cell r="I81">
            <v>8</v>
          </cell>
          <cell r="J81">
            <v>8</v>
          </cell>
          <cell r="K81">
            <v>8</v>
          </cell>
          <cell r="L81">
            <v>0</v>
          </cell>
          <cell r="M81">
            <v>8</v>
          </cell>
          <cell r="N81">
            <v>8</v>
          </cell>
          <cell r="O81">
            <v>8</v>
          </cell>
          <cell r="P81">
            <v>8</v>
          </cell>
          <cell r="Q81">
            <v>8</v>
          </cell>
          <cell r="R81">
            <v>0</v>
          </cell>
          <cell r="S81">
            <v>8</v>
          </cell>
          <cell r="T81">
            <v>8</v>
          </cell>
          <cell r="U81">
            <v>8</v>
          </cell>
          <cell r="V81">
            <v>8</v>
          </cell>
          <cell r="W81">
            <v>0</v>
          </cell>
          <cell r="X81">
            <v>8</v>
          </cell>
          <cell r="Y81">
            <v>8</v>
          </cell>
          <cell r="Z81">
            <v>8</v>
          </cell>
          <cell r="AA81">
            <v>8</v>
          </cell>
          <cell r="AB81">
            <v>8</v>
          </cell>
          <cell r="AC81">
            <v>8</v>
          </cell>
          <cell r="AD81">
            <v>8</v>
          </cell>
          <cell r="AE81">
            <v>8</v>
          </cell>
          <cell r="AF81">
            <v>8</v>
          </cell>
          <cell r="AG81">
            <v>8</v>
          </cell>
          <cell r="AH81">
            <v>8</v>
          </cell>
          <cell r="AI81">
            <v>8</v>
          </cell>
          <cell r="AJ81">
            <v>28</v>
          </cell>
          <cell r="AK81">
            <v>3</v>
          </cell>
          <cell r="AL81">
            <v>25</v>
          </cell>
          <cell r="AM81">
            <v>2</v>
          </cell>
          <cell r="AN81">
            <v>11</v>
          </cell>
          <cell r="AO81">
            <v>88</v>
          </cell>
        </row>
        <row r="82">
          <cell r="B82">
            <v>10617</v>
          </cell>
          <cell r="C82" t="str">
            <v>R.JAVED ANSARI</v>
          </cell>
          <cell r="D82" t="str">
            <v>FABRICATION - HINDI</v>
          </cell>
          <cell r="E82">
            <v>8</v>
          </cell>
          <cell r="F82">
            <v>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8</v>
          </cell>
          <cell r="L82">
            <v>8</v>
          </cell>
          <cell r="M82">
            <v>8</v>
          </cell>
          <cell r="N82">
            <v>8</v>
          </cell>
          <cell r="O82">
            <v>8</v>
          </cell>
          <cell r="P82">
            <v>0</v>
          </cell>
          <cell r="Q82">
            <v>8</v>
          </cell>
          <cell r="R82">
            <v>8</v>
          </cell>
          <cell r="S82">
            <v>8</v>
          </cell>
          <cell r="T82">
            <v>8</v>
          </cell>
          <cell r="U82">
            <v>8</v>
          </cell>
          <cell r="V82">
            <v>8</v>
          </cell>
          <cell r="W82">
            <v>0</v>
          </cell>
          <cell r="X82">
            <v>8</v>
          </cell>
          <cell r="Y82">
            <v>8</v>
          </cell>
          <cell r="Z82">
            <v>8</v>
          </cell>
          <cell r="AA82">
            <v>8</v>
          </cell>
          <cell r="AB82">
            <v>8</v>
          </cell>
          <cell r="AC82">
            <v>8</v>
          </cell>
          <cell r="AD82">
            <v>8</v>
          </cell>
          <cell r="AE82">
            <v>8</v>
          </cell>
          <cell r="AF82">
            <v>8</v>
          </cell>
          <cell r="AG82">
            <v>8</v>
          </cell>
          <cell r="AH82">
            <v>8</v>
          </cell>
          <cell r="AI82">
            <v>8</v>
          </cell>
          <cell r="AJ82">
            <v>25</v>
          </cell>
          <cell r="AK82">
            <v>1</v>
          </cell>
          <cell r="AL82">
            <v>24</v>
          </cell>
          <cell r="AM82">
            <v>3</v>
          </cell>
          <cell r="AN82">
            <v>8.5625</v>
          </cell>
          <cell r="AO82">
            <v>68.5</v>
          </cell>
        </row>
        <row r="83">
          <cell r="B83">
            <v>10618</v>
          </cell>
          <cell r="C83" t="str">
            <v>RAJUKUMAR</v>
          </cell>
          <cell r="D83" t="str">
            <v>FABRICATION - HINDI</v>
          </cell>
          <cell r="E83">
            <v>8</v>
          </cell>
          <cell r="F83">
            <v>8</v>
          </cell>
          <cell r="G83">
            <v>8</v>
          </cell>
          <cell r="H83">
            <v>8</v>
          </cell>
          <cell r="I83">
            <v>0</v>
          </cell>
          <cell r="J83">
            <v>8</v>
          </cell>
          <cell r="K83">
            <v>0</v>
          </cell>
          <cell r="L83">
            <v>8</v>
          </cell>
          <cell r="M83">
            <v>8</v>
          </cell>
          <cell r="N83">
            <v>8</v>
          </cell>
          <cell r="O83">
            <v>8</v>
          </cell>
          <cell r="P83">
            <v>0</v>
          </cell>
          <cell r="Q83">
            <v>8</v>
          </cell>
          <cell r="R83">
            <v>8</v>
          </cell>
          <cell r="S83">
            <v>8</v>
          </cell>
          <cell r="T83">
            <v>8</v>
          </cell>
          <cell r="U83">
            <v>8</v>
          </cell>
          <cell r="V83">
            <v>8</v>
          </cell>
          <cell r="W83">
            <v>0</v>
          </cell>
          <cell r="X83">
            <v>8</v>
          </cell>
          <cell r="Y83">
            <v>8</v>
          </cell>
          <cell r="Z83">
            <v>8</v>
          </cell>
          <cell r="AA83">
            <v>8</v>
          </cell>
          <cell r="AB83">
            <v>8</v>
          </cell>
          <cell r="AC83">
            <v>8</v>
          </cell>
          <cell r="AD83">
            <v>0</v>
          </cell>
          <cell r="AE83">
            <v>8</v>
          </cell>
          <cell r="AF83">
            <v>8</v>
          </cell>
          <cell r="AG83">
            <v>8</v>
          </cell>
          <cell r="AH83">
            <v>8</v>
          </cell>
          <cell r="AI83">
            <v>8</v>
          </cell>
          <cell r="AJ83">
            <v>26</v>
          </cell>
          <cell r="AK83">
            <v>0</v>
          </cell>
          <cell r="AL83">
            <v>26</v>
          </cell>
          <cell r="AM83">
            <v>1</v>
          </cell>
          <cell r="AN83">
            <v>7.8125</v>
          </cell>
          <cell r="AO83">
            <v>62.5</v>
          </cell>
        </row>
        <row r="84">
          <cell r="B84">
            <v>10619</v>
          </cell>
          <cell r="C84" t="str">
            <v>S.JOGITH KUMAR</v>
          </cell>
          <cell r="D84" t="str">
            <v>FABRICATION - HINDI</v>
          </cell>
          <cell r="E84">
            <v>8</v>
          </cell>
          <cell r="F84">
            <v>8</v>
          </cell>
          <cell r="G84">
            <v>8</v>
          </cell>
          <cell r="H84">
            <v>8</v>
          </cell>
          <cell r="I84">
            <v>8</v>
          </cell>
          <cell r="J84">
            <v>8</v>
          </cell>
          <cell r="K84">
            <v>8</v>
          </cell>
          <cell r="L84">
            <v>0</v>
          </cell>
          <cell r="M84">
            <v>8</v>
          </cell>
          <cell r="N84">
            <v>0</v>
          </cell>
          <cell r="O84">
            <v>8</v>
          </cell>
          <cell r="P84">
            <v>0</v>
          </cell>
          <cell r="Q84">
            <v>8</v>
          </cell>
          <cell r="R84">
            <v>8</v>
          </cell>
          <cell r="S84">
            <v>8</v>
          </cell>
          <cell r="T84">
            <v>8</v>
          </cell>
          <cell r="U84">
            <v>8</v>
          </cell>
          <cell r="V84">
            <v>8</v>
          </cell>
          <cell r="W84">
            <v>8</v>
          </cell>
          <cell r="X84">
            <v>0</v>
          </cell>
          <cell r="Y84">
            <v>8</v>
          </cell>
          <cell r="Z84">
            <v>8</v>
          </cell>
          <cell r="AA84">
            <v>8</v>
          </cell>
          <cell r="AB84">
            <v>8</v>
          </cell>
          <cell r="AC84">
            <v>8</v>
          </cell>
          <cell r="AD84">
            <v>0</v>
          </cell>
          <cell r="AE84">
            <v>8</v>
          </cell>
          <cell r="AF84">
            <v>8</v>
          </cell>
          <cell r="AG84">
            <v>8</v>
          </cell>
          <cell r="AH84">
            <v>8</v>
          </cell>
          <cell r="AI84">
            <v>8</v>
          </cell>
          <cell r="AJ84">
            <v>26</v>
          </cell>
          <cell r="AK84">
            <v>2</v>
          </cell>
          <cell r="AL84">
            <v>24</v>
          </cell>
          <cell r="AM84">
            <v>3</v>
          </cell>
          <cell r="AN84">
            <v>13.8125</v>
          </cell>
          <cell r="AO84">
            <v>110.5</v>
          </cell>
        </row>
        <row r="85">
          <cell r="B85">
            <v>10623</v>
          </cell>
          <cell r="C85" t="str">
            <v>RAJESH DAS</v>
          </cell>
          <cell r="D85" t="str">
            <v>FABRICATION - HINDI</v>
          </cell>
          <cell r="E85">
            <v>8</v>
          </cell>
          <cell r="F85">
            <v>8</v>
          </cell>
          <cell r="G85">
            <v>0</v>
          </cell>
          <cell r="H85">
            <v>8</v>
          </cell>
          <cell r="I85">
            <v>8</v>
          </cell>
          <cell r="J85">
            <v>8</v>
          </cell>
          <cell r="K85">
            <v>8</v>
          </cell>
          <cell r="L85">
            <v>4</v>
          </cell>
          <cell r="M85">
            <v>8</v>
          </cell>
          <cell r="N85">
            <v>8</v>
          </cell>
          <cell r="O85">
            <v>8</v>
          </cell>
          <cell r="P85">
            <v>8</v>
          </cell>
          <cell r="Q85">
            <v>8</v>
          </cell>
          <cell r="R85">
            <v>8</v>
          </cell>
          <cell r="S85">
            <v>8</v>
          </cell>
          <cell r="T85">
            <v>8</v>
          </cell>
          <cell r="U85">
            <v>8</v>
          </cell>
          <cell r="V85">
            <v>8</v>
          </cell>
          <cell r="W85">
            <v>8</v>
          </cell>
          <cell r="X85">
            <v>8</v>
          </cell>
          <cell r="Y85">
            <v>8</v>
          </cell>
          <cell r="Z85">
            <v>8</v>
          </cell>
          <cell r="AA85">
            <v>8</v>
          </cell>
          <cell r="AB85">
            <v>8</v>
          </cell>
          <cell r="AC85">
            <v>8</v>
          </cell>
          <cell r="AD85">
            <v>8</v>
          </cell>
          <cell r="AE85">
            <v>8</v>
          </cell>
          <cell r="AF85">
            <v>8</v>
          </cell>
          <cell r="AG85">
            <v>8</v>
          </cell>
          <cell r="AH85">
            <v>8</v>
          </cell>
          <cell r="AI85">
            <v>8</v>
          </cell>
          <cell r="AJ85">
            <v>29.5</v>
          </cell>
          <cell r="AK85">
            <v>4</v>
          </cell>
          <cell r="AL85">
            <v>25.5</v>
          </cell>
          <cell r="AM85">
            <v>1.5</v>
          </cell>
          <cell r="AN85">
            <v>10.875</v>
          </cell>
          <cell r="AO85">
            <v>87</v>
          </cell>
        </row>
        <row r="86">
          <cell r="B86">
            <v>10624</v>
          </cell>
          <cell r="C86" t="str">
            <v>SUNNY KUMAR</v>
          </cell>
          <cell r="D86" t="str">
            <v>FABRICATION - HINDI</v>
          </cell>
          <cell r="E86">
            <v>8</v>
          </cell>
          <cell r="F86">
            <v>8</v>
          </cell>
          <cell r="G86">
            <v>8</v>
          </cell>
          <cell r="H86">
            <v>8</v>
          </cell>
          <cell r="I86">
            <v>8</v>
          </cell>
          <cell r="J86">
            <v>8</v>
          </cell>
          <cell r="K86">
            <v>8</v>
          </cell>
          <cell r="L86">
            <v>8</v>
          </cell>
          <cell r="M86">
            <v>8</v>
          </cell>
          <cell r="N86">
            <v>8</v>
          </cell>
          <cell r="O86">
            <v>8</v>
          </cell>
          <cell r="P86">
            <v>8</v>
          </cell>
          <cell r="Q86">
            <v>8</v>
          </cell>
          <cell r="R86">
            <v>8</v>
          </cell>
          <cell r="S86">
            <v>8</v>
          </cell>
          <cell r="T86">
            <v>8</v>
          </cell>
          <cell r="U86">
            <v>8</v>
          </cell>
          <cell r="V86">
            <v>8</v>
          </cell>
          <cell r="W86">
            <v>0</v>
          </cell>
          <cell r="X86">
            <v>8</v>
          </cell>
          <cell r="Y86">
            <v>8</v>
          </cell>
          <cell r="Z86">
            <v>8</v>
          </cell>
          <cell r="AA86">
            <v>8</v>
          </cell>
          <cell r="AB86">
            <v>8</v>
          </cell>
          <cell r="AC86">
            <v>8</v>
          </cell>
          <cell r="AD86">
            <v>0</v>
          </cell>
          <cell r="AE86">
            <v>8</v>
          </cell>
          <cell r="AF86">
            <v>8</v>
          </cell>
          <cell r="AG86">
            <v>8</v>
          </cell>
          <cell r="AH86">
            <v>8</v>
          </cell>
          <cell r="AI86">
            <v>8</v>
          </cell>
          <cell r="AJ86">
            <v>29</v>
          </cell>
          <cell r="AK86">
            <v>2</v>
          </cell>
          <cell r="AL86">
            <v>27</v>
          </cell>
          <cell r="AM86">
            <v>0</v>
          </cell>
          <cell r="AN86">
            <v>9.75</v>
          </cell>
          <cell r="AO86">
            <v>78</v>
          </cell>
        </row>
        <row r="87">
          <cell r="B87">
            <v>10626</v>
          </cell>
          <cell r="C87" t="str">
            <v>R.NAUSHAD ANSARI</v>
          </cell>
          <cell r="D87" t="str">
            <v>FABRICATION - HINDI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8</v>
          </cell>
          <cell r="AG87">
            <v>8</v>
          </cell>
          <cell r="AH87">
            <v>8</v>
          </cell>
          <cell r="AI87">
            <v>8</v>
          </cell>
          <cell r="AJ87">
            <v>4</v>
          </cell>
          <cell r="AK87">
            <v>0</v>
          </cell>
          <cell r="AL87">
            <v>4</v>
          </cell>
          <cell r="AM87">
            <v>23</v>
          </cell>
          <cell r="AN87">
            <v>1.0625</v>
          </cell>
          <cell r="AO87">
            <v>8.5</v>
          </cell>
        </row>
        <row r="88">
          <cell r="B88">
            <v>10001</v>
          </cell>
          <cell r="C88" t="str">
            <v>NAGARAJ</v>
          </cell>
          <cell r="D88" t="str">
            <v>STP</v>
          </cell>
          <cell r="E88">
            <v>8</v>
          </cell>
          <cell r="F88">
            <v>0</v>
          </cell>
          <cell r="G88">
            <v>8</v>
          </cell>
          <cell r="H88">
            <v>8</v>
          </cell>
          <cell r="I88">
            <v>0</v>
          </cell>
          <cell r="J88">
            <v>8</v>
          </cell>
          <cell r="K88">
            <v>8</v>
          </cell>
          <cell r="L88">
            <v>8</v>
          </cell>
          <cell r="M88">
            <v>4</v>
          </cell>
          <cell r="N88">
            <v>8</v>
          </cell>
          <cell r="O88">
            <v>8</v>
          </cell>
          <cell r="P88">
            <v>0</v>
          </cell>
          <cell r="Q88">
            <v>8</v>
          </cell>
          <cell r="R88">
            <v>8</v>
          </cell>
          <cell r="S88">
            <v>8</v>
          </cell>
          <cell r="T88">
            <v>8</v>
          </cell>
          <cell r="U88">
            <v>8</v>
          </cell>
          <cell r="V88">
            <v>8</v>
          </cell>
          <cell r="W88">
            <v>0</v>
          </cell>
          <cell r="X88">
            <v>0</v>
          </cell>
          <cell r="Y88">
            <v>8</v>
          </cell>
          <cell r="Z88">
            <v>8</v>
          </cell>
          <cell r="AA88">
            <v>8</v>
          </cell>
          <cell r="AB88">
            <v>8</v>
          </cell>
          <cell r="AC88">
            <v>4</v>
          </cell>
          <cell r="AD88">
            <v>0</v>
          </cell>
          <cell r="AE88">
            <v>0</v>
          </cell>
          <cell r="AF88">
            <v>8</v>
          </cell>
          <cell r="AG88">
            <v>8</v>
          </cell>
          <cell r="AH88">
            <v>8</v>
          </cell>
          <cell r="AI88">
            <v>8</v>
          </cell>
          <cell r="AJ88">
            <v>23</v>
          </cell>
          <cell r="AK88">
            <v>0</v>
          </cell>
          <cell r="AL88">
            <v>23</v>
          </cell>
          <cell r="AM88">
            <v>4</v>
          </cell>
          <cell r="AN88">
            <v>0</v>
          </cell>
          <cell r="AO8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Y53"/>
  <sheetViews>
    <sheetView zoomScale="85" zoomScaleNormal="85" workbookViewId="0">
      <pane xSplit="7" ySplit="5" topLeftCell="AA6" activePane="bottomRight" state="frozen"/>
      <selection pane="topRight" activeCell="F1" sqref="F1"/>
      <selection pane="bottomLeft" activeCell="A6" sqref="A6"/>
      <selection pane="bottomRight" activeCell="AI44" sqref="AI44"/>
    </sheetView>
  </sheetViews>
  <sheetFormatPr defaultColWidth="9.140625" defaultRowHeight="15" x14ac:dyDescent="0.25"/>
  <cols>
    <col min="1" max="1" width="5" style="14" customWidth="1"/>
    <col min="2" max="2" width="7.42578125" style="14" bestFit="1" customWidth="1"/>
    <col min="3" max="3" width="11.7109375" style="14" bestFit="1" customWidth="1"/>
    <col min="4" max="4" width="10.28515625" style="14" bestFit="1" customWidth="1"/>
    <col min="5" max="5" width="13.42578125" style="14" bestFit="1" customWidth="1"/>
    <col min="6" max="6" width="11.28515625" style="14" bestFit="1" customWidth="1"/>
    <col min="7" max="7" width="25.5703125" style="14" bestFit="1" customWidth="1"/>
    <col min="8" max="8" width="43.140625" style="14" customWidth="1"/>
    <col min="9" max="9" width="15.5703125" style="14" hidden="1" customWidth="1"/>
    <col min="10" max="10" width="12.5703125" style="14" hidden="1" customWidth="1"/>
    <col min="11" max="11" width="13.5703125" style="14" hidden="1" customWidth="1"/>
    <col min="12" max="12" width="10" style="14" hidden="1" customWidth="1"/>
    <col min="13" max="13" width="18.42578125" style="14" hidden="1" customWidth="1"/>
    <col min="14" max="15" width="8.42578125" style="14" customWidth="1"/>
    <col min="16" max="16" width="7.42578125" style="14" bestFit="1" customWidth="1"/>
    <col min="17" max="17" width="7.28515625" style="14" bestFit="1" customWidth="1"/>
    <col min="18" max="18" width="6.140625" style="14" customWidth="1"/>
    <col min="19" max="19" width="5" style="14" customWidth="1"/>
    <col min="20" max="20" width="8.42578125" style="14" customWidth="1"/>
    <col min="21" max="21" width="11.85546875" style="14" customWidth="1"/>
    <col min="22" max="24" width="10.7109375" style="14" customWidth="1"/>
    <col min="25" max="25" width="12.5703125" style="14" customWidth="1"/>
    <col min="26" max="26" width="13.42578125" style="14" customWidth="1"/>
    <col min="27" max="27" width="11.140625" style="14" customWidth="1"/>
    <col min="28" max="30" width="10.7109375" style="14" customWidth="1"/>
    <col min="31" max="31" width="13.7109375" style="14" bestFit="1" customWidth="1"/>
    <col min="32" max="32" width="13.42578125" style="281" customWidth="1"/>
    <col min="33" max="34" width="10.7109375" style="14" customWidth="1"/>
    <col min="35" max="35" width="10.85546875" style="14" bestFit="1" customWidth="1"/>
    <col min="36" max="36" width="10.85546875" style="14" customWidth="1"/>
    <col min="37" max="38" width="10.140625" style="14" customWidth="1"/>
    <col min="39" max="39" width="11.85546875" style="14" bestFit="1" customWidth="1"/>
    <col min="40" max="40" width="8.42578125" style="14" customWidth="1"/>
    <col min="41" max="42" width="9.5703125" style="14" customWidth="1"/>
    <col min="43" max="43" width="11.28515625" style="14" bestFit="1" customWidth="1"/>
    <col min="44" max="44" width="12" style="14" customWidth="1"/>
    <col min="45" max="45" width="10.140625" style="14" customWidth="1"/>
    <col min="46" max="46" width="9.85546875" style="14" customWidth="1"/>
    <col min="47" max="49" width="11.85546875" style="14" customWidth="1"/>
    <col min="50" max="50" width="9.140625" style="14"/>
    <col min="51" max="51" width="9.7109375" style="14" bestFit="1" customWidth="1"/>
    <col min="52" max="16384" width="9.140625" style="14"/>
  </cols>
  <sheetData>
    <row r="1" spans="2:49" ht="15.75" thickBot="1" x14ac:dyDescent="0.3"/>
    <row r="2" spans="2:49" ht="29.65" customHeight="1" thickBot="1" x14ac:dyDescent="0.3">
      <c r="B2" s="195" t="s">
        <v>228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</row>
    <row r="3" spans="2:49" ht="29.65" customHeight="1" thickBot="1" x14ac:dyDescent="0.3">
      <c r="B3" s="195" t="s">
        <v>310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7"/>
    </row>
    <row r="4" spans="2:49" ht="29.25" customHeight="1" thickBot="1" x14ac:dyDescent="0.3">
      <c r="B4" s="198" t="s">
        <v>18</v>
      </c>
      <c r="C4" s="200"/>
      <c r="D4" s="200"/>
      <c r="E4" s="201"/>
      <c r="F4" s="201"/>
      <c r="G4" s="202"/>
      <c r="H4" s="108">
        <v>27</v>
      </c>
      <c r="I4" s="218" t="s">
        <v>6</v>
      </c>
      <c r="J4" s="218" t="s">
        <v>26</v>
      </c>
      <c r="K4" s="218" t="s">
        <v>27</v>
      </c>
      <c r="L4" s="218" t="s">
        <v>29</v>
      </c>
      <c r="M4" s="218" t="s">
        <v>28</v>
      </c>
      <c r="N4" s="198" t="s">
        <v>64</v>
      </c>
      <c r="O4" s="199"/>
      <c r="P4" s="200"/>
      <c r="Q4" s="200"/>
      <c r="R4" s="200"/>
      <c r="S4" s="200"/>
      <c r="T4" s="202"/>
      <c r="U4" s="213" t="s">
        <v>11</v>
      </c>
      <c r="V4" s="214"/>
      <c r="W4" s="214"/>
      <c r="X4" s="214"/>
      <c r="Y4" s="214"/>
      <c r="Z4" s="215"/>
      <c r="AA4" s="198" t="s">
        <v>59</v>
      </c>
      <c r="AB4" s="200"/>
      <c r="AC4" s="200"/>
      <c r="AD4" s="200"/>
      <c r="AE4" s="200"/>
      <c r="AF4" s="200"/>
      <c r="AG4" s="200"/>
      <c r="AH4" s="202"/>
      <c r="AI4" s="198" t="s">
        <v>13</v>
      </c>
      <c r="AJ4" s="199"/>
      <c r="AK4" s="200"/>
      <c r="AL4" s="200"/>
      <c r="AM4" s="200"/>
      <c r="AN4" s="200"/>
      <c r="AO4" s="200"/>
      <c r="AP4" s="200"/>
      <c r="AQ4" s="201"/>
      <c r="AR4" s="222" t="s">
        <v>22</v>
      </c>
      <c r="AS4" s="218" t="s">
        <v>17</v>
      </c>
      <c r="AT4" s="216" t="s">
        <v>65</v>
      </c>
      <c r="AU4" s="218" t="s">
        <v>71</v>
      </c>
      <c r="AV4" s="220" t="s">
        <v>20</v>
      </c>
      <c r="AW4" s="218" t="s">
        <v>21</v>
      </c>
    </row>
    <row r="5" spans="2:49" ht="29.25" customHeight="1" thickBot="1" x14ac:dyDescent="0.3">
      <c r="B5" s="19" t="s">
        <v>35</v>
      </c>
      <c r="C5" s="20" t="s">
        <v>37</v>
      </c>
      <c r="D5" s="19" t="s">
        <v>23</v>
      </c>
      <c r="E5" s="20" t="s">
        <v>78</v>
      </c>
      <c r="F5" s="20" t="s">
        <v>79</v>
      </c>
      <c r="G5" s="20" t="s">
        <v>5</v>
      </c>
      <c r="H5" s="19" t="s">
        <v>36</v>
      </c>
      <c r="I5" s="219"/>
      <c r="J5" s="219"/>
      <c r="K5" s="219"/>
      <c r="L5" s="219"/>
      <c r="M5" s="219"/>
      <c r="N5" s="19" t="s">
        <v>0</v>
      </c>
      <c r="O5" s="19" t="s">
        <v>58</v>
      </c>
      <c r="P5" s="19" t="s">
        <v>75</v>
      </c>
      <c r="Q5" s="19" t="s">
        <v>1</v>
      </c>
      <c r="R5" s="19" t="s">
        <v>2</v>
      </c>
      <c r="S5" s="19" t="s">
        <v>3</v>
      </c>
      <c r="T5" s="19" t="s">
        <v>4</v>
      </c>
      <c r="U5" s="19" t="s">
        <v>31</v>
      </c>
      <c r="V5" s="19" t="s">
        <v>8</v>
      </c>
      <c r="W5" s="19" t="s">
        <v>32</v>
      </c>
      <c r="X5" s="19" t="s">
        <v>47</v>
      </c>
      <c r="Y5" s="19" t="s">
        <v>9</v>
      </c>
      <c r="Z5" s="19" t="s">
        <v>7</v>
      </c>
      <c r="AA5" s="19" t="s">
        <v>31</v>
      </c>
      <c r="AB5" s="19" t="s">
        <v>8</v>
      </c>
      <c r="AC5" s="19" t="s">
        <v>32</v>
      </c>
      <c r="AD5" s="19" t="s">
        <v>47</v>
      </c>
      <c r="AE5" s="19" t="s">
        <v>9</v>
      </c>
      <c r="AF5" s="282" t="s">
        <v>7</v>
      </c>
      <c r="AG5" s="20" t="s">
        <v>14</v>
      </c>
      <c r="AH5" s="19" t="s">
        <v>15</v>
      </c>
      <c r="AI5" s="19" t="s">
        <v>33</v>
      </c>
      <c r="AJ5" s="180" t="s">
        <v>291</v>
      </c>
      <c r="AK5" s="19" t="s">
        <v>30</v>
      </c>
      <c r="AL5" s="180" t="s">
        <v>292</v>
      </c>
      <c r="AM5" s="19" t="s">
        <v>72</v>
      </c>
      <c r="AN5" s="20" t="s">
        <v>46</v>
      </c>
      <c r="AO5" s="19" t="s">
        <v>16</v>
      </c>
      <c r="AP5" s="20" t="s">
        <v>45</v>
      </c>
      <c r="AQ5" s="19" t="s">
        <v>34</v>
      </c>
      <c r="AR5" s="223"/>
      <c r="AS5" s="219"/>
      <c r="AT5" s="217"/>
      <c r="AU5" s="219"/>
      <c r="AV5" s="221"/>
      <c r="AW5" s="219"/>
    </row>
    <row r="6" spans="2:49" ht="45" customHeight="1" x14ac:dyDescent="0.25">
      <c r="B6" s="21">
        <v>1</v>
      </c>
      <c r="C6" s="109">
        <v>1001</v>
      </c>
      <c r="D6" s="109">
        <v>1001</v>
      </c>
      <c r="E6" s="4">
        <v>100196077241</v>
      </c>
      <c r="F6" s="4">
        <v>0</v>
      </c>
      <c r="G6" s="138" t="s">
        <v>83</v>
      </c>
      <c r="H6" s="22" t="s">
        <v>258</v>
      </c>
      <c r="I6" s="110" t="s">
        <v>84</v>
      </c>
      <c r="J6" s="33">
        <v>32995</v>
      </c>
      <c r="K6" s="2"/>
      <c r="L6" s="15">
        <v>46052</v>
      </c>
      <c r="M6" s="17" t="str">
        <f>DATEDIF(J6,L6,"y")&amp;" years,"&amp;DATEDIF(J6,L6,"ym")&amp;" months"</f>
        <v>35 years,8 months</v>
      </c>
      <c r="N6" s="1">
        <f>VLOOKUP(C6,'[1]stff-sal'!$B$2:$R$41,17,0)</f>
        <v>27</v>
      </c>
      <c r="O6" s="1">
        <v>0</v>
      </c>
      <c r="P6" s="1">
        <v>0</v>
      </c>
      <c r="Q6" s="1">
        <f>VLOOKUP(C6,'[1]stff-sal'!$B$2:$S$41,18,0)</f>
        <v>0</v>
      </c>
      <c r="R6" s="1">
        <v>0</v>
      </c>
      <c r="S6" s="1">
        <v>0</v>
      </c>
      <c r="T6" s="1">
        <f>SUM(N6:S6)</f>
        <v>27</v>
      </c>
      <c r="U6" s="2">
        <f>Z6*50%</f>
        <v>31800</v>
      </c>
      <c r="V6" s="2">
        <f>Z6*20%</f>
        <v>12720</v>
      </c>
      <c r="W6" s="2">
        <f>Z6*10%</f>
        <v>6360</v>
      </c>
      <c r="X6" s="2">
        <f>Z6*10%</f>
        <v>6360</v>
      </c>
      <c r="Y6" s="2">
        <f>Z6*10%</f>
        <v>6360</v>
      </c>
      <c r="Z6" s="2">
        <v>63600</v>
      </c>
      <c r="AA6" s="4">
        <f>+U6/$H$4*T6</f>
        <v>31800</v>
      </c>
      <c r="AB6" s="4">
        <f>+V6/$H$4*T6</f>
        <v>12720</v>
      </c>
      <c r="AC6" s="4">
        <f>+X6/$H$4*T6</f>
        <v>6360</v>
      </c>
      <c r="AD6" s="4">
        <f>+X6/$H$4*T6</f>
        <v>6360</v>
      </c>
      <c r="AE6" s="4">
        <f>+Y6/$H$4*T6</f>
        <v>6360</v>
      </c>
      <c r="AF6" s="283">
        <f>SUM(AA6:AE6)</f>
        <v>63600</v>
      </c>
      <c r="AG6" s="4">
        <f>+IF($AF6*80%&gt;=15000,15000,MIN($AF6*80%))</f>
        <v>15000</v>
      </c>
      <c r="AH6" s="4">
        <f>+IF($AF6&gt;21000,0,MIN($AF6*90%))</f>
        <v>0</v>
      </c>
      <c r="AI6" s="4">
        <f>+IF(AG6&gt;15000,1800,MIN(AG6*12%))</f>
        <v>1800</v>
      </c>
      <c r="AJ6" s="181">
        <v>1800</v>
      </c>
      <c r="AK6" s="4">
        <f t="shared" ref="AK6" si="0">+ROUNDUP((IF(Z6&gt;21001,0,MIN(AH6,AH6*0.75%))),0)</f>
        <v>0</v>
      </c>
      <c r="AL6" s="181">
        <v>0</v>
      </c>
      <c r="AM6" s="4">
        <v>0</v>
      </c>
      <c r="AN6" s="2">
        <v>344</v>
      </c>
      <c r="AO6" s="2">
        <v>0</v>
      </c>
      <c r="AP6" s="2">
        <v>0</v>
      </c>
      <c r="AQ6" s="4">
        <f>SUM(AI6:AP6)</f>
        <v>3944</v>
      </c>
      <c r="AR6" s="4">
        <f t="shared" ref="AR6" si="1">SUM(AF6-AQ6)</f>
        <v>59656</v>
      </c>
      <c r="AS6" s="2"/>
      <c r="AT6" s="16">
        <v>0</v>
      </c>
      <c r="AU6" s="2">
        <v>15640</v>
      </c>
      <c r="AV6" s="2">
        <f>AT6+AU6</f>
        <v>15640</v>
      </c>
      <c r="AW6" s="2">
        <f>AV6-AP6</f>
        <v>15640</v>
      </c>
    </row>
    <row r="7" spans="2:49" ht="45" customHeight="1" x14ac:dyDescent="0.25">
      <c r="B7" s="21">
        <v>2</v>
      </c>
      <c r="C7" s="109">
        <v>1002</v>
      </c>
      <c r="D7" s="109">
        <v>1002</v>
      </c>
      <c r="E7" s="4">
        <v>100271280728</v>
      </c>
      <c r="F7" s="4">
        <v>0</v>
      </c>
      <c r="G7" s="138" t="s">
        <v>85</v>
      </c>
      <c r="H7" s="22" t="s">
        <v>258</v>
      </c>
      <c r="I7" s="110" t="s">
        <v>86</v>
      </c>
      <c r="J7" s="33">
        <v>35699</v>
      </c>
      <c r="K7" s="2"/>
      <c r="L7" s="15">
        <v>46052</v>
      </c>
      <c r="M7" s="17" t="str">
        <f t="shared" ref="M7:M45" si="2">DATEDIF(J7,L7,"y")&amp;" years,"&amp;DATEDIF(J7,L7,"ym")&amp;" months"</f>
        <v>28 years,4 months</v>
      </c>
      <c r="N7" s="1">
        <f>VLOOKUP(C7,'[1]stff-sal'!$B$2:$R$41,17,0)</f>
        <v>27</v>
      </c>
      <c r="O7" s="1">
        <v>0</v>
      </c>
      <c r="P7" s="1">
        <v>0</v>
      </c>
      <c r="Q7" s="1">
        <f>VLOOKUP(C7,'[1]stff-sal'!$B$2:$S$41,18,0)</f>
        <v>0</v>
      </c>
      <c r="R7" s="1">
        <v>0</v>
      </c>
      <c r="S7" s="1">
        <v>0</v>
      </c>
      <c r="T7" s="1">
        <f t="shared" ref="T7:T45" si="3">SUM(N7:S7)</f>
        <v>27</v>
      </c>
      <c r="U7" s="2">
        <f t="shared" ref="U7:U45" si="4">Z7*50%</f>
        <v>28750</v>
      </c>
      <c r="V7" s="2">
        <f t="shared" ref="V7:V45" si="5">Z7*20%</f>
        <v>11500</v>
      </c>
      <c r="W7" s="2">
        <f t="shared" ref="W7:W45" si="6">Z7*10%</f>
        <v>5750</v>
      </c>
      <c r="X7" s="2">
        <f t="shared" ref="X7:X45" si="7">Z7*10%</f>
        <v>5750</v>
      </c>
      <c r="Y7" s="2">
        <f t="shared" ref="Y7:Y45" si="8">Z7*10%</f>
        <v>5750</v>
      </c>
      <c r="Z7" s="2">
        <v>57500</v>
      </c>
      <c r="AA7" s="4">
        <f t="shared" ref="AA7:AA45" si="9">+U7/$H$4*T7</f>
        <v>28750</v>
      </c>
      <c r="AB7" s="4">
        <f t="shared" ref="AB7:AB45" si="10">+V7/$H$4*T7</f>
        <v>11500</v>
      </c>
      <c r="AC7" s="4">
        <f t="shared" ref="AC7:AC45" si="11">+X7/$H$4*T7</f>
        <v>5750</v>
      </c>
      <c r="AD7" s="4">
        <f t="shared" ref="AD7:AD45" si="12">+X7/$H$4*T7</f>
        <v>5750</v>
      </c>
      <c r="AE7" s="4">
        <f t="shared" ref="AE7:AE45" si="13">+Y7/$H$4*T7</f>
        <v>5750</v>
      </c>
      <c r="AF7" s="283">
        <f t="shared" ref="AF7:AF45" si="14">SUM(AA7:AE7)</f>
        <v>57500</v>
      </c>
      <c r="AG7" s="4">
        <f t="shared" ref="AG7:AG45" si="15">+IF($AF7*80%&gt;=15000,15000,MIN($AF7*80%))</f>
        <v>15000</v>
      </c>
      <c r="AH7" s="4">
        <f t="shared" ref="AH7:AH45" si="16">+IF($AF7&gt;21000,0,MIN($AF7*90%))</f>
        <v>0</v>
      </c>
      <c r="AI7" s="4">
        <f t="shared" ref="AI7:AI45" si="17">+IF(AG7&gt;15000,1800,MIN(AG7*12%))</f>
        <v>1800</v>
      </c>
      <c r="AJ7" s="181">
        <v>1800</v>
      </c>
      <c r="AK7" s="4">
        <f t="shared" ref="AK7:AK45" si="18">+ROUNDUP((IF(Z7&gt;21001,0,MIN(AH7,AH7*0.75%))),0)</f>
        <v>0</v>
      </c>
      <c r="AL7" s="181">
        <v>0</v>
      </c>
      <c r="AM7" s="4">
        <v>0</v>
      </c>
      <c r="AN7" s="2">
        <v>344</v>
      </c>
      <c r="AO7" s="2">
        <v>0</v>
      </c>
      <c r="AP7" s="2">
        <v>2000</v>
      </c>
      <c r="AQ7" s="4">
        <f t="shared" ref="AQ7:AQ45" si="19">SUM(AI7:AP7)</f>
        <v>5944</v>
      </c>
      <c r="AR7" s="4">
        <f t="shared" ref="AR7:AR45" si="20">SUM(AF7-AQ7)</f>
        <v>51556</v>
      </c>
      <c r="AS7" s="2"/>
      <c r="AT7" s="16">
        <v>0</v>
      </c>
      <c r="AU7" s="170">
        <v>138000</v>
      </c>
      <c r="AV7" s="2">
        <f t="shared" ref="AV7:AV45" si="21">AT7+AU7</f>
        <v>138000</v>
      </c>
      <c r="AW7" s="2">
        <f t="shared" ref="AW7:AW45" si="22">AV7-AP7</f>
        <v>136000</v>
      </c>
    </row>
    <row r="8" spans="2:49" ht="45" customHeight="1" x14ac:dyDescent="0.25">
      <c r="B8" s="21">
        <v>3</v>
      </c>
      <c r="C8" s="109">
        <v>1003</v>
      </c>
      <c r="D8" s="109">
        <v>1003</v>
      </c>
      <c r="E8" s="4">
        <v>100268861363</v>
      </c>
      <c r="F8" s="4">
        <v>0</v>
      </c>
      <c r="G8" s="138" t="s">
        <v>87</v>
      </c>
      <c r="H8" s="22" t="s">
        <v>259</v>
      </c>
      <c r="I8" s="110" t="s">
        <v>88</v>
      </c>
      <c r="J8" s="33">
        <v>37261</v>
      </c>
      <c r="K8" s="2"/>
      <c r="L8" s="15">
        <v>46052</v>
      </c>
      <c r="M8" s="17" t="str">
        <f t="shared" si="2"/>
        <v>24 years,0 months</v>
      </c>
      <c r="N8" s="1">
        <f>VLOOKUP(C8,'[1]stff-sal'!$B$2:$R$41,17,0)</f>
        <v>26.5</v>
      </c>
      <c r="O8" s="1">
        <v>0</v>
      </c>
      <c r="P8" s="1">
        <v>0</v>
      </c>
      <c r="Q8" s="1">
        <f>VLOOKUP(C8,'[1]stff-sal'!$B$2:$S$41,18,0)</f>
        <v>0.5</v>
      </c>
      <c r="R8" s="1">
        <v>0</v>
      </c>
      <c r="S8" s="1">
        <v>0</v>
      </c>
      <c r="T8" s="1">
        <f t="shared" si="3"/>
        <v>27</v>
      </c>
      <c r="U8" s="2">
        <f t="shared" si="4"/>
        <v>25750</v>
      </c>
      <c r="V8" s="2">
        <f t="shared" si="5"/>
        <v>10300</v>
      </c>
      <c r="W8" s="2">
        <f t="shared" si="6"/>
        <v>5150</v>
      </c>
      <c r="X8" s="2">
        <f t="shared" si="7"/>
        <v>5150</v>
      </c>
      <c r="Y8" s="2">
        <f t="shared" si="8"/>
        <v>5150</v>
      </c>
      <c r="Z8" s="2">
        <v>51500</v>
      </c>
      <c r="AA8" s="4">
        <f t="shared" si="9"/>
        <v>25750</v>
      </c>
      <c r="AB8" s="4">
        <f t="shared" si="10"/>
        <v>10300</v>
      </c>
      <c r="AC8" s="4">
        <f t="shared" si="11"/>
        <v>5150</v>
      </c>
      <c r="AD8" s="4">
        <f t="shared" si="12"/>
        <v>5150</v>
      </c>
      <c r="AE8" s="4">
        <f t="shared" si="13"/>
        <v>5150</v>
      </c>
      <c r="AF8" s="283">
        <f t="shared" si="14"/>
        <v>51500</v>
      </c>
      <c r="AG8" s="4">
        <f t="shared" si="15"/>
        <v>15000</v>
      </c>
      <c r="AH8" s="4">
        <f t="shared" si="16"/>
        <v>0</v>
      </c>
      <c r="AI8" s="4">
        <f t="shared" si="17"/>
        <v>1800</v>
      </c>
      <c r="AJ8" s="181">
        <v>1800</v>
      </c>
      <c r="AK8" s="4">
        <f t="shared" si="18"/>
        <v>0</v>
      </c>
      <c r="AL8" s="181">
        <v>0</v>
      </c>
      <c r="AM8" s="4">
        <v>0</v>
      </c>
      <c r="AN8" s="2">
        <v>241</v>
      </c>
      <c r="AO8" s="2">
        <v>0</v>
      </c>
      <c r="AP8" s="2">
        <v>0</v>
      </c>
      <c r="AQ8" s="4">
        <f t="shared" si="19"/>
        <v>3841</v>
      </c>
      <c r="AR8" s="4">
        <f t="shared" si="20"/>
        <v>47659</v>
      </c>
      <c r="AS8" s="2"/>
      <c r="AT8" s="16">
        <v>0</v>
      </c>
      <c r="AU8" s="2">
        <v>0</v>
      </c>
      <c r="AV8" s="2">
        <f t="shared" si="21"/>
        <v>0</v>
      </c>
      <c r="AW8" s="2">
        <f t="shared" si="22"/>
        <v>0</v>
      </c>
    </row>
    <row r="9" spans="2:49" ht="45" customHeight="1" x14ac:dyDescent="0.25">
      <c r="B9" s="21">
        <v>4</v>
      </c>
      <c r="C9" s="109">
        <v>1004</v>
      </c>
      <c r="D9" s="109">
        <v>1004</v>
      </c>
      <c r="E9" s="4">
        <v>100402161422</v>
      </c>
      <c r="F9" s="4">
        <v>0</v>
      </c>
      <c r="G9" s="138" t="s">
        <v>89</v>
      </c>
      <c r="H9" s="22" t="s">
        <v>259</v>
      </c>
      <c r="I9" s="110" t="s">
        <v>90</v>
      </c>
      <c r="J9" s="33">
        <v>38182</v>
      </c>
      <c r="K9" s="17"/>
      <c r="L9" s="15">
        <v>46052</v>
      </c>
      <c r="M9" s="17" t="str">
        <f t="shared" si="2"/>
        <v>21 years,6 months</v>
      </c>
      <c r="N9" s="1">
        <f>VLOOKUP(C9,'[1]stff-sal'!$B$2:$R$41,17,0)</f>
        <v>22.5</v>
      </c>
      <c r="O9" s="1">
        <v>0</v>
      </c>
      <c r="P9" s="1">
        <v>0</v>
      </c>
      <c r="Q9" s="1">
        <f>VLOOKUP(C9,'[1]stff-sal'!$B$2:$S$41,18,0)</f>
        <v>2</v>
      </c>
      <c r="R9" s="1">
        <v>0</v>
      </c>
      <c r="S9" s="1">
        <v>0</v>
      </c>
      <c r="T9" s="1">
        <f t="shared" si="3"/>
        <v>24.5</v>
      </c>
      <c r="U9" s="2">
        <f t="shared" si="4"/>
        <v>24992</v>
      </c>
      <c r="V9" s="2">
        <f t="shared" si="5"/>
        <v>9996.8000000000011</v>
      </c>
      <c r="W9" s="2">
        <f t="shared" si="6"/>
        <v>4998.4000000000005</v>
      </c>
      <c r="X9" s="2">
        <f t="shared" si="7"/>
        <v>4998.4000000000005</v>
      </c>
      <c r="Y9" s="2">
        <f t="shared" si="8"/>
        <v>4998.4000000000005</v>
      </c>
      <c r="Z9" s="2">
        <v>49984</v>
      </c>
      <c r="AA9" s="4">
        <f t="shared" si="9"/>
        <v>22677.925925925927</v>
      </c>
      <c r="AB9" s="4">
        <f t="shared" si="10"/>
        <v>9071.1703703703715</v>
      </c>
      <c r="AC9" s="4">
        <f t="shared" si="11"/>
        <v>4535.5851851851858</v>
      </c>
      <c r="AD9" s="4">
        <f t="shared" si="12"/>
        <v>4535.5851851851858</v>
      </c>
      <c r="AE9" s="4">
        <f t="shared" si="13"/>
        <v>4535.5851851851858</v>
      </c>
      <c r="AF9" s="283">
        <f t="shared" si="14"/>
        <v>45355.851851851854</v>
      </c>
      <c r="AG9" s="4">
        <f t="shared" si="15"/>
        <v>15000</v>
      </c>
      <c r="AH9" s="4">
        <f t="shared" si="16"/>
        <v>0</v>
      </c>
      <c r="AI9" s="4">
        <f t="shared" si="17"/>
        <v>1800</v>
      </c>
      <c r="AJ9" s="181">
        <v>1800</v>
      </c>
      <c r="AK9" s="4">
        <f t="shared" si="18"/>
        <v>0</v>
      </c>
      <c r="AL9" s="181">
        <v>0</v>
      </c>
      <c r="AM9" s="4">
        <v>0</v>
      </c>
      <c r="AN9" s="2">
        <v>0</v>
      </c>
      <c r="AO9" s="2">
        <v>0</v>
      </c>
      <c r="AP9" s="2">
        <v>1000</v>
      </c>
      <c r="AQ9" s="4">
        <f t="shared" si="19"/>
        <v>4600</v>
      </c>
      <c r="AR9" s="4">
        <f t="shared" si="20"/>
        <v>40755.851851851854</v>
      </c>
      <c r="AS9" s="2"/>
      <c r="AT9" s="16">
        <v>0</v>
      </c>
      <c r="AU9" s="2">
        <v>392500</v>
      </c>
      <c r="AV9" s="2">
        <f t="shared" si="21"/>
        <v>392500</v>
      </c>
      <c r="AW9" s="2">
        <f t="shared" si="22"/>
        <v>391500</v>
      </c>
    </row>
    <row r="10" spans="2:49" ht="45" customHeight="1" x14ac:dyDescent="0.25">
      <c r="B10" s="21">
        <v>5</v>
      </c>
      <c r="C10" s="109">
        <v>1005</v>
      </c>
      <c r="D10" s="109">
        <v>1005</v>
      </c>
      <c r="E10" s="4">
        <v>100404957384</v>
      </c>
      <c r="F10" s="4">
        <v>0</v>
      </c>
      <c r="G10" s="138" t="s">
        <v>91</v>
      </c>
      <c r="H10" s="22" t="s">
        <v>259</v>
      </c>
      <c r="I10" s="110" t="s">
        <v>92</v>
      </c>
      <c r="J10" s="33">
        <v>38477</v>
      </c>
      <c r="K10" s="2"/>
      <c r="L10" s="15">
        <v>46052</v>
      </c>
      <c r="M10" s="17" t="str">
        <f t="shared" si="2"/>
        <v>20 years,8 months</v>
      </c>
      <c r="N10" s="1">
        <f>VLOOKUP(C10,'[1]stff-sal'!$B$2:$R$41,17,0)</f>
        <v>25</v>
      </c>
      <c r="O10" s="1">
        <v>0</v>
      </c>
      <c r="P10" s="1">
        <v>0</v>
      </c>
      <c r="Q10" s="1">
        <f>VLOOKUP(C10,'[1]stff-sal'!$B$2:$S$41,18,0)</f>
        <v>2</v>
      </c>
      <c r="R10" s="1">
        <v>0</v>
      </c>
      <c r="S10" s="1">
        <v>0</v>
      </c>
      <c r="T10" s="1">
        <f t="shared" si="3"/>
        <v>27</v>
      </c>
      <c r="U10" s="2">
        <f t="shared" si="4"/>
        <v>24742</v>
      </c>
      <c r="V10" s="2">
        <f t="shared" si="5"/>
        <v>9896.8000000000011</v>
      </c>
      <c r="W10" s="2">
        <f t="shared" si="6"/>
        <v>4948.4000000000005</v>
      </c>
      <c r="X10" s="2">
        <f t="shared" si="7"/>
        <v>4948.4000000000005</v>
      </c>
      <c r="Y10" s="2">
        <f t="shared" si="8"/>
        <v>4948.4000000000005</v>
      </c>
      <c r="Z10" s="2">
        <v>49484</v>
      </c>
      <c r="AA10" s="4">
        <f t="shared" si="9"/>
        <v>24742</v>
      </c>
      <c r="AB10" s="4">
        <f t="shared" si="10"/>
        <v>9896.8000000000011</v>
      </c>
      <c r="AC10" s="4">
        <f t="shared" si="11"/>
        <v>4948.4000000000005</v>
      </c>
      <c r="AD10" s="4">
        <f t="shared" si="12"/>
        <v>4948.4000000000005</v>
      </c>
      <c r="AE10" s="4">
        <f t="shared" si="13"/>
        <v>4948.4000000000005</v>
      </c>
      <c r="AF10" s="283">
        <f t="shared" si="14"/>
        <v>49484.000000000007</v>
      </c>
      <c r="AG10" s="4">
        <f t="shared" si="15"/>
        <v>15000</v>
      </c>
      <c r="AH10" s="4">
        <f t="shared" si="16"/>
        <v>0</v>
      </c>
      <c r="AI10" s="4">
        <f t="shared" si="17"/>
        <v>1800</v>
      </c>
      <c r="AJ10" s="181">
        <v>1800</v>
      </c>
      <c r="AK10" s="4">
        <f t="shared" si="18"/>
        <v>0</v>
      </c>
      <c r="AL10" s="181">
        <v>0</v>
      </c>
      <c r="AM10" s="4">
        <v>0</v>
      </c>
      <c r="AN10" s="2">
        <v>237</v>
      </c>
      <c r="AO10" s="2">
        <v>0</v>
      </c>
      <c r="AP10" s="2">
        <v>0</v>
      </c>
      <c r="AQ10" s="4">
        <f t="shared" si="19"/>
        <v>3837</v>
      </c>
      <c r="AR10" s="4">
        <f t="shared" si="20"/>
        <v>45647.000000000007</v>
      </c>
      <c r="AS10" s="2"/>
      <c r="AT10" s="16">
        <v>0</v>
      </c>
      <c r="AU10" s="2">
        <v>0</v>
      </c>
      <c r="AV10" s="2">
        <f t="shared" si="21"/>
        <v>0</v>
      </c>
      <c r="AW10" s="2">
        <f t="shared" si="22"/>
        <v>0</v>
      </c>
    </row>
    <row r="11" spans="2:49" ht="45" customHeight="1" x14ac:dyDescent="0.25">
      <c r="B11" s="21">
        <v>6</v>
      </c>
      <c r="C11" s="109">
        <v>1006</v>
      </c>
      <c r="D11" s="109">
        <v>1006</v>
      </c>
      <c r="E11" s="4">
        <v>100196836078</v>
      </c>
      <c r="F11" s="4">
        <v>0</v>
      </c>
      <c r="G11" s="138" t="s">
        <v>93</v>
      </c>
      <c r="H11" s="22" t="s">
        <v>260</v>
      </c>
      <c r="I11" s="110" t="s">
        <v>84</v>
      </c>
      <c r="J11" s="33">
        <v>38565</v>
      </c>
      <c r="K11" s="2"/>
      <c r="L11" s="15">
        <v>46052</v>
      </c>
      <c r="M11" s="17" t="str">
        <f t="shared" si="2"/>
        <v>20 years,5 months</v>
      </c>
      <c r="N11" s="1">
        <f>VLOOKUP(C11,'[1]stff-sal'!$B$2:$R$41,17,0)</f>
        <v>27</v>
      </c>
      <c r="O11" s="1">
        <v>0</v>
      </c>
      <c r="P11" s="1">
        <v>0</v>
      </c>
      <c r="Q11" s="1">
        <f>VLOOKUP(C11,'[1]stff-sal'!$B$2:$S$41,18,0)</f>
        <v>0</v>
      </c>
      <c r="R11" s="1">
        <v>0</v>
      </c>
      <c r="S11" s="1">
        <v>0</v>
      </c>
      <c r="T11" s="1">
        <f t="shared" si="3"/>
        <v>27</v>
      </c>
      <c r="U11" s="2">
        <f t="shared" si="4"/>
        <v>26186</v>
      </c>
      <c r="V11" s="2">
        <f t="shared" si="5"/>
        <v>10474.400000000001</v>
      </c>
      <c r="W11" s="2">
        <f t="shared" si="6"/>
        <v>5237.2000000000007</v>
      </c>
      <c r="X11" s="2">
        <f t="shared" si="7"/>
        <v>5237.2000000000007</v>
      </c>
      <c r="Y11" s="2">
        <f t="shared" si="8"/>
        <v>5237.2000000000007</v>
      </c>
      <c r="Z11" s="2">
        <v>52372</v>
      </c>
      <c r="AA11" s="4">
        <f t="shared" si="9"/>
        <v>26186</v>
      </c>
      <c r="AB11" s="4">
        <f t="shared" si="10"/>
        <v>10474.400000000001</v>
      </c>
      <c r="AC11" s="4">
        <f t="shared" si="11"/>
        <v>5237.2000000000007</v>
      </c>
      <c r="AD11" s="4">
        <f t="shared" si="12"/>
        <v>5237.2000000000007</v>
      </c>
      <c r="AE11" s="4">
        <f t="shared" si="13"/>
        <v>5237.2000000000007</v>
      </c>
      <c r="AF11" s="283">
        <f t="shared" si="14"/>
        <v>52372</v>
      </c>
      <c r="AG11" s="4">
        <f t="shared" si="15"/>
        <v>15000</v>
      </c>
      <c r="AH11" s="4">
        <f t="shared" si="16"/>
        <v>0</v>
      </c>
      <c r="AI11" s="4">
        <f t="shared" si="17"/>
        <v>1800</v>
      </c>
      <c r="AJ11" s="181">
        <v>1800</v>
      </c>
      <c r="AK11" s="4">
        <f t="shared" si="18"/>
        <v>0</v>
      </c>
      <c r="AL11" s="181">
        <v>0</v>
      </c>
      <c r="AM11" s="4">
        <v>0</v>
      </c>
      <c r="AN11" s="2">
        <v>232</v>
      </c>
      <c r="AO11" s="2">
        <v>0</v>
      </c>
      <c r="AP11" s="2">
        <v>0</v>
      </c>
      <c r="AQ11" s="4">
        <f t="shared" si="19"/>
        <v>3832</v>
      </c>
      <c r="AR11" s="4">
        <f t="shared" si="20"/>
        <v>48540</v>
      </c>
      <c r="AS11" s="2"/>
      <c r="AT11" s="16">
        <v>0</v>
      </c>
      <c r="AU11" s="2">
        <v>0</v>
      </c>
      <c r="AV11" s="2">
        <f t="shared" si="21"/>
        <v>0</v>
      </c>
      <c r="AW11" s="2">
        <f t="shared" si="22"/>
        <v>0</v>
      </c>
    </row>
    <row r="12" spans="2:49" ht="45" customHeight="1" x14ac:dyDescent="0.25">
      <c r="B12" s="21">
        <v>7</v>
      </c>
      <c r="C12" s="109">
        <v>1007</v>
      </c>
      <c r="D12" s="109">
        <v>1007</v>
      </c>
      <c r="E12" s="4">
        <v>100400131756</v>
      </c>
      <c r="F12" s="4">
        <v>0</v>
      </c>
      <c r="G12" s="138" t="s">
        <v>94</v>
      </c>
      <c r="H12" s="22" t="s">
        <v>259</v>
      </c>
      <c r="I12" s="110" t="s">
        <v>95</v>
      </c>
      <c r="J12" s="33">
        <v>38670</v>
      </c>
      <c r="K12" s="2"/>
      <c r="L12" s="15">
        <v>46052</v>
      </c>
      <c r="M12" s="17" t="str">
        <f t="shared" si="2"/>
        <v>20 years,2 months</v>
      </c>
      <c r="N12" s="1">
        <f>VLOOKUP(C12,'[1]stff-sal'!$B$2:$R$41,17,0)</f>
        <v>26</v>
      </c>
      <c r="O12" s="1">
        <v>0</v>
      </c>
      <c r="P12" s="1">
        <v>0</v>
      </c>
      <c r="Q12" s="1">
        <f>VLOOKUP(C12,'[1]stff-sal'!$B$2:$S$41,18,0)</f>
        <v>1</v>
      </c>
      <c r="R12" s="1">
        <v>0</v>
      </c>
      <c r="S12" s="1">
        <v>0</v>
      </c>
      <c r="T12" s="1">
        <f t="shared" si="3"/>
        <v>27</v>
      </c>
      <c r="U12" s="2">
        <f t="shared" si="4"/>
        <v>23117.5</v>
      </c>
      <c r="V12" s="2">
        <f t="shared" si="5"/>
        <v>9247</v>
      </c>
      <c r="W12" s="2">
        <f t="shared" si="6"/>
        <v>4623.5</v>
      </c>
      <c r="X12" s="2">
        <f t="shared" si="7"/>
        <v>4623.5</v>
      </c>
      <c r="Y12" s="2">
        <f t="shared" si="8"/>
        <v>4623.5</v>
      </c>
      <c r="Z12" s="2">
        <v>46235</v>
      </c>
      <c r="AA12" s="4">
        <f t="shared" si="9"/>
        <v>23117.5</v>
      </c>
      <c r="AB12" s="4">
        <f t="shared" si="10"/>
        <v>9247</v>
      </c>
      <c r="AC12" s="4">
        <f t="shared" si="11"/>
        <v>4623.5</v>
      </c>
      <c r="AD12" s="4">
        <f t="shared" si="12"/>
        <v>4623.5</v>
      </c>
      <c r="AE12" s="4">
        <f t="shared" si="13"/>
        <v>4623.5</v>
      </c>
      <c r="AF12" s="283">
        <f t="shared" si="14"/>
        <v>46235</v>
      </c>
      <c r="AG12" s="4">
        <f t="shared" si="15"/>
        <v>15000</v>
      </c>
      <c r="AH12" s="4">
        <f t="shared" si="16"/>
        <v>0</v>
      </c>
      <c r="AI12" s="4">
        <f t="shared" si="17"/>
        <v>1800</v>
      </c>
      <c r="AJ12" s="181">
        <v>1800</v>
      </c>
      <c r="AK12" s="4">
        <f t="shared" si="18"/>
        <v>0</v>
      </c>
      <c r="AL12" s="181">
        <v>0</v>
      </c>
      <c r="AM12" s="4">
        <v>0</v>
      </c>
      <c r="AN12" s="2">
        <v>4</v>
      </c>
      <c r="AO12" s="2">
        <v>0</v>
      </c>
      <c r="AP12" s="2">
        <v>0</v>
      </c>
      <c r="AQ12" s="4">
        <f t="shared" si="19"/>
        <v>3604</v>
      </c>
      <c r="AR12" s="4">
        <f t="shared" si="20"/>
        <v>42631</v>
      </c>
      <c r="AS12" s="2"/>
      <c r="AT12" s="16">
        <v>0</v>
      </c>
      <c r="AU12" s="2">
        <v>0</v>
      </c>
      <c r="AV12" s="2">
        <f t="shared" si="21"/>
        <v>0</v>
      </c>
      <c r="AW12" s="2">
        <f t="shared" si="22"/>
        <v>0</v>
      </c>
    </row>
    <row r="13" spans="2:49" ht="45" customHeight="1" x14ac:dyDescent="0.25">
      <c r="B13" s="21">
        <v>8</v>
      </c>
      <c r="C13" s="109">
        <v>1009</v>
      </c>
      <c r="D13" s="109">
        <v>1009</v>
      </c>
      <c r="E13" s="4">
        <v>100394976425</v>
      </c>
      <c r="F13" s="4">
        <v>0</v>
      </c>
      <c r="G13" s="138" t="s">
        <v>96</v>
      </c>
      <c r="H13" s="22" t="s">
        <v>258</v>
      </c>
      <c r="I13" s="110" t="s">
        <v>84</v>
      </c>
      <c r="J13" s="33">
        <v>39176</v>
      </c>
      <c r="K13" s="2"/>
      <c r="L13" s="15">
        <v>46052</v>
      </c>
      <c r="M13" s="17" t="str">
        <f t="shared" si="2"/>
        <v>18 years,9 months</v>
      </c>
      <c r="N13" s="1">
        <f>VLOOKUP(C13,'[1]stff-sal'!$B$2:$R$41,17,0)</f>
        <v>25.5</v>
      </c>
      <c r="O13" s="1">
        <v>0</v>
      </c>
      <c r="P13" s="1">
        <v>0</v>
      </c>
      <c r="Q13" s="1">
        <f>VLOOKUP(C13,'[1]stff-sal'!$B$2:$S$41,18,0)</f>
        <v>1.5</v>
      </c>
      <c r="R13" s="1">
        <v>0</v>
      </c>
      <c r="S13" s="1">
        <v>0</v>
      </c>
      <c r="T13" s="1">
        <f t="shared" si="3"/>
        <v>27</v>
      </c>
      <c r="U13" s="2">
        <f t="shared" si="4"/>
        <v>29375</v>
      </c>
      <c r="V13" s="2">
        <f t="shared" si="5"/>
        <v>11750</v>
      </c>
      <c r="W13" s="2">
        <f t="shared" si="6"/>
        <v>5875</v>
      </c>
      <c r="X13" s="2">
        <f t="shared" si="7"/>
        <v>5875</v>
      </c>
      <c r="Y13" s="2">
        <f t="shared" si="8"/>
        <v>5875</v>
      </c>
      <c r="Z13" s="2">
        <v>58750</v>
      </c>
      <c r="AA13" s="4">
        <f t="shared" si="9"/>
        <v>29375.000000000004</v>
      </c>
      <c r="AB13" s="4">
        <f t="shared" si="10"/>
        <v>11750</v>
      </c>
      <c r="AC13" s="4">
        <f t="shared" si="11"/>
        <v>5875</v>
      </c>
      <c r="AD13" s="4">
        <f t="shared" si="12"/>
        <v>5875</v>
      </c>
      <c r="AE13" s="4">
        <f t="shared" si="13"/>
        <v>5875</v>
      </c>
      <c r="AF13" s="283">
        <f t="shared" si="14"/>
        <v>58750</v>
      </c>
      <c r="AG13" s="4">
        <f t="shared" si="15"/>
        <v>15000</v>
      </c>
      <c r="AH13" s="4">
        <f t="shared" si="16"/>
        <v>0</v>
      </c>
      <c r="AI13" s="4">
        <f t="shared" si="17"/>
        <v>1800</v>
      </c>
      <c r="AJ13" s="181">
        <v>1800</v>
      </c>
      <c r="AK13" s="4">
        <f t="shared" si="18"/>
        <v>0</v>
      </c>
      <c r="AL13" s="181">
        <v>0</v>
      </c>
      <c r="AM13" s="4">
        <v>0</v>
      </c>
      <c r="AN13" s="2">
        <v>275</v>
      </c>
      <c r="AO13" s="2">
        <v>0</v>
      </c>
      <c r="AP13" s="2">
        <v>2000</v>
      </c>
      <c r="AQ13" s="4">
        <f t="shared" si="19"/>
        <v>5875</v>
      </c>
      <c r="AR13" s="4">
        <f t="shared" si="20"/>
        <v>52875</v>
      </c>
      <c r="AS13" s="2"/>
      <c r="AT13" s="16">
        <v>0</v>
      </c>
      <c r="AU13" s="2">
        <v>42500</v>
      </c>
      <c r="AV13" s="2">
        <f t="shared" si="21"/>
        <v>42500</v>
      </c>
      <c r="AW13" s="2">
        <f t="shared" si="22"/>
        <v>40500</v>
      </c>
    </row>
    <row r="14" spans="2:49" ht="45" customHeight="1" x14ac:dyDescent="0.25">
      <c r="B14" s="21">
        <v>9</v>
      </c>
      <c r="C14" s="109">
        <v>1010</v>
      </c>
      <c r="D14" s="109">
        <v>1010</v>
      </c>
      <c r="E14" s="4">
        <v>100391371693</v>
      </c>
      <c r="F14" s="4">
        <v>0</v>
      </c>
      <c r="G14" s="138" t="s">
        <v>97</v>
      </c>
      <c r="H14" s="22" t="s">
        <v>258</v>
      </c>
      <c r="I14" s="110" t="s">
        <v>98</v>
      </c>
      <c r="J14" s="33">
        <v>39273</v>
      </c>
      <c r="K14" s="2"/>
      <c r="L14" s="15">
        <v>46052</v>
      </c>
      <c r="M14" s="17" t="str">
        <f t="shared" si="2"/>
        <v>18 years,6 months</v>
      </c>
      <c r="N14" s="1">
        <f>VLOOKUP(C14,'[1]stff-sal'!$B$2:$R$41,17,0)</f>
        <v>27</v>
      </c>
      <c r="O14" s="1">
        <v>0</v>
      </c>
      <c r="P14" s="1">
        <v>0</v>
      </c>
      <c r="Q14" s="1">
        <f>VLOOKUP(C14,'[1]stff-sal'!$B$2:$S$41,18,0)</f>
        <v>0</v>
      </c>
      <c r="R14" s="1">
        <v>0</v>
      </c>
      <c r="S14" s="1">
        <v>0</v>
      </c>
      <c r="T14" s="1">
        <f t="shared" si="3"/>
        <v>27</v>
      </c>
      <c r="U14" s="2">
        <f t="shared" si="4"/>
        <v>28125</v>
      </c>
      <c r="V14" s="2">
        <f t="shared" si="5"/>
        <v>11250</v>
      </c>
      <c r="W14" s="2">
        <f t="shared" si="6"/>
        <v>5625</v>
      </c>
      <c r="X14" s="2">
        <f t="shared" si="7"/>
        <v>5625</v>
      </c>
      <c r="Y14" s="2">
        <f t="shared" si="8"/>
        <v>5625</v>
      </c>
      <c r="Z14" s="2">
        <v>56250</v>
      </c>
      <c r="AA14" s="4">
        <f t="shared" si="9"/>
        <v>28125.000000000004</v>
      </c>
      <c r="AB14" s="4">
        <f t="shared" si="10"/>
        <v>11250</v>
      </c>
      <c r="AC14" s="4">
        <f t="shared" si="11"/>
        <v>5625</v>
      </c>
      <c r="AD14" s="4">
        <f t="shared" si="12"/>
        <v>5625</v>
      </c>
      <c r="AE14" s="4">
        <f t="shared" si="13"/>
        <v>5625</v>
      </c>
      <c r="AF14" s="283">
        <f t="shared" si="14"/>
        <v>56250</v>
      </c>
      <c r="AG14" s="4">
        <f t="shared" si="15"/>
        <v>15000</v>
      </c>
      <c r="AH14" s="4">
        <f t="shared" si="16"/>
        <v>0</v>
      </c>
      <c r="AI14" s="4">
        <f t="shared" si="17"/>
        <v>1800</v>
      </c>
      <c r="AJ14" s="181">
        <v>1800</v>
      </c>
      <c r="AK14" s="4">
        <f t="shared" si="18"/>
        <v>0</v>
      </c>
      <c r="AL14" s="181">
        <v>0</v>
      </c>
      <c r="AM14" s="4">
        <v>0</v>
      </c>
      <c r="AN14" s="2">
        <v>229</v>
      </c>
      <c r="AO14" s="2">
        <v>0</v>
      </c>
      <c r="AP14" s="2">
        <v>2000</v>
      </c>
      <c r="AQ14" s="4">
        <f t="shared" si="19"/>
        <v>5829</v>
      </c>
      <c r="AR14" s="4">
        <f t="shared" si="20"/>
        <v>50421</v>
      </c>
      <c r="AS14" s="2"/>
      <c r="AT14" s="16">
        <v>0</v>
      </c>
      <c r="AU14" s="2">
        <v>40000</v>
      </c>
      <c r="AV14" s="2">
        <f t="shared" si="21"/>
        <v>40000</v>
      </c>
      <c r="AW14" s="2">
        <f t="shared" si="22"/>
        <v>38000</v>
      </c>
    </row>
    <row r="15" spans="2:49" ht="45" customHeight="1" x14ac:dyDescent="0.25">
      <c r="B15" s="21">
        <v>10</v>
      </c>
      <c r="C15" s="109">
        <v>1012</v>
      </c>
      <c r="D15" s="109">
        <v>1012</v>
      </c>
      <c r="E15" s="4">
        <v>100190929528</v>
      </c>
      <c r="F15" s="4">
        <v>0</v>
      </c>
      <c r="G15" s="138" t="s">
        <v>99</v>
      </c>
      <c r="H15" s="22" t="s">
        <v>259</v>
      </c>
      <c r="I15" s="110" t="s">
        <v>100</v>
      </c>
      <c r="J15" s="33">
        <v>39970</v>
      </c>
      <c r="K15" s="2"/>
      <c r="L15" s="15">
        <v>46052</v>
      </c>
      <c r="M15" s="17" t="str">
        <f t="shared" si="2"/>
        <v>16 years,7 months</v>
      </c>
      <c r="N15" s="1">
        <f>VLOOKUP(C15,'[1]stff-sal'!$B$2:$R$41,17,0)</f>
        <v>25</v>
      </c>
      <c r="O15" s="1">
        <v>0</v>
      </c>
      <c r="P15" s="1">
        <v>0</v>
      </c>
      <c r="Q15" s="1">
        <f>VLOOKUP(C15,'[1]stff-sal'!$B$2:$S$41,18,0)</f>
        <v>2</v>
      </c>
      <c r="R15" s="1">
        <v>0</v>
      </c>
      <c r="S15" s="1">
        <v>0</v>
      </c>
      <c r="T15" s="1">
        <f t="shared" si="3"/>
        <v>27</v>
      </c>
      <c r="U15" s="2">
        <f t="shared" si="4"/>
        <v>22117.5</v>
      </c>
      <c r="V15" s="2">
        <f t="shared" si="5"/>
        <v>8847</v>
      </c>
      <c r="W15" s="2">
        <f t="shared" si="6"/>
        <v>4423.5</v>
      </c>
      <c r="X15" s="2">
        <f t="shared" si="7"/>
        <v>4423.5</v>
      </c>
      <c r="Y15" s="2">
        <f t="shared" si="8"/>
        <v>4423.5</v>
      </c>
      <c r="Z15" s="2">
        <v>44235</v>
      </c>
      <c r="AA15" s="4">
        <f t="shared" si="9"/>
        <v>22117.5</v>
      </c>
      <c r="AB15" s="4">
        <f t="shared" si="10"/>
        <v>8847</v>
      </c>
      <c r="AC15" s="4">
        <f t="shared" si="11"/>
        <v>4423.5</v>
      </c>
      <c r="AD15" s="4">
        <f t="shared" si="12"/>
        <v>4423.5</v>
      </c>
      <c r="AE15" s="4">
        <f t="shared" si="13"/>
        <v>4423.5</v>
      </c>
      <c r="AF15" s="283">
        <f t="shared" si="14"/>
        <v>44235</v>
      </c>
      <c r="AG15" s="4">
        <f t="shared" si="15"/>
        <v>15000</v>
      </c>
      <c r="AH15" s="4">
        <f t="shared" si="16"/>
        <v>0</v>
      </c>
      <c r="AI15" s="4">
        <f t="shared" si="17"/>
        <v>1800</v>
      </c>
      <c r="AJ15" s="181">
        <v>1800</v>
      </c>
      <c r="AK15" s="4">
        <f t="shared" si="18"/>
        <v>0</v>
      </c>
      <c r="AL15" s="181">
        <v>0</v>
      </c>
      <c r="AM15" s="4">
        <v>0</v>
      </c>
      <c r="AN15" s="2">
        <v>284</v>
      </c>
      <c r="AO15" s="2">
        <v>0</v>
      </c>
      <c r="AP15" s="2">
        <v>2000</v>
      </c>
      <c r="AQ15" s="4">
        <f t="shared" si="19"/>
        <v>5884</v>
      </c>
      <c r="AR15" s="4">
        <f t="shared" si="20"/>
        <v>38351</v>
      </c>
      <c r="AS15" s="2"/>
      <c r="AT15" s="16">
        <v>0</v>
      </c>
      <c r="AU15" s="2">
        <v>242000</v>
      </c>
      <c r="AV15" s="2">
        <f t="shared" si="21"/>
        <v>242000</v>
      </c>
      <c r="AW15" s="2">
        <f t="shared" si="22"/>
        <v>240000</v>
      </c>
    </row>
    <row r="16" spans="2:49" ht="45" customHeight="1" x14ac:dyDescent="0.25">
      <c r="B16" s="21">
        <v>11</v>
      </c>
      <c r="C16" s="109">
        <v>1013</v>
      </c>
      <c r="D16" s="109">
        <v>1013</v>
      </c>
      <c r="E16" s="4">
        <v>100369663193</v>
      </c>
      <c r="F16" s="4">
        <v>0</v>
      </c>
      <c r="G16" s="138" t="s">
        <v>101</v>
      </c>
      <c r="H16" s="22" t="s">
        <v>261</v>
      </c>
      <c r="I16" s="110" t="s">
        <v>55</v>
      </c>
      <c r="J16" s="33">
        <v>40639</v>
      </c>
      <c r="K16" s="2"/>
      <c r="L16" s="15">
        <v>46052</v>
      </c>
      <c r="M16" s="17" t="str">
        <f t="shared" si="2"/>
        <v>14 years,9 months</v>
      </c>
      <c r="N16" s="1">
        <f>VLOOKUP(C16,'[1]stff-sal'!$B$2:$R$41,17,0)</f>
        <v>27</v>
      </c>
      <c r="O16" s="1">
        <v>0</v>
      </c>
      <c r="P16" s="1">
        <v>0</v>
      </c>
      <c r="Q16" s="1">
        <f>VLOOKUP(C16,'[1]stff-sal'!$B$2:$S$41,18,0)</f>
        <v>0</v>
      </c>
      <c r="R16" s="1">
        <v>0</v>
      </c>
      <c r="S16" s="1">
        <v>0</v>
      </c>
      <c r="T16" s="1">
        <f t="shared" si="3"/>
        <v>27</v>
      </c>
      <c r="U16" s="2">
        <f t="shared" si="4"/>
        <v>16520</v>
      </c>
      <c r="V16" s="2">
        <f t="shared" si="5"/>
        <v>6608</v>
      </c>
      <c r="W16" s="2">
        <f t="shared" si="6"/>
        <v>3304</v>
      </c>
      <c r="X16" s="2">
        <f t="shared" si="7"/>
        <v>3304</v>
      </c>
      <c r="Y16" s="2">
        <f t="shared" si="8"/>
        <v>3304</v>
      </c>
      <c r="Z16" s="2">
        <v>33040</v>
      </c>
      <c r="AA16" s="4">
        <f t="shared" si="9"/>
        <v>16520</v>
      </c>
      <c r="AB16" s="4">
        <f t="shared" si="10"/>
        <v>6608</v>
      </c>
      <c r="AC16" s="4">
        <f t="shared" si="11"/>
        <v>3304</v>
      </c>
      <c r="AD16" s="4">
        <f t="shared" si="12"/>
        <v>3304</v>
      </c>
      <c r="AE16" s="4">
        <f t="shared" si="13"/>
        <v>3304</v>
      </c>
      <c r="AF16" s="283">
        <f t="shared" si="14"/>
        <v>33040</v>
      </c>
      <c r="AG16" s="4">
        <f t="shared" si="15"/>
        <v>15000</v>
      </c>
      <c r="AH16" s="4">
        <f t="shared" si="16"/>
        <v>0</v>
      </c>
      <c r="AI16" s="4">
        <f t="shared" si="17"/>
        <v>1800</v>
      </c>
      <c r="AJ16" s="181">
        <v>1800</v>
      </c>
      <c r="AK16" s="4">
        <f t="shared" si="18"/>
        <v>0</v>
      </c>
      <c r="AL16" s="181">
        <v>0</v>
      </c>
      <c r="AM16" s="4">
        <v>0</v>
      </c>
      <c r="AN16" s="2">
        <v>0</v>
      </c>
      <c r="AO16" s="2">
        <v>0</v>
      </c>
      <c r="AP16" s="2">
        <v>0</v>
      </c>
      <c r="AQ16" s="4">
        <f t="shared" si="19"/>
        <v>3600</v>
      </c>
      <c r="AR16" s="4">
        <f t="shared" si="20"/>
        <v>29440</v>
      </c>
      <c r="AS16" s="2"/>
      <c r="AT16" s="16">
        <v>0</v>
      </c>
      <c r="AU16" s="2">
        <v>0</v>
      </c>
      <c r="AV16" s="2">
        <f t="shared" si="21"/>
        <v>0</v>
      </c>
      <c r="AW16" s="2">
        <f t="shared" si="22"/>
        <v>0</v>
      </c>
    </row>
    <row r="17" spans="2:49" ht="45" customHeight="1" x14ac:dyDescent="0.25">
      <c r="B17" s="21">
        <v>12</v>
      </c>
      <c r="C17" s="109">
        <v>1014</v>
      </c>
      <c r="D17" s="109">
        <v>1014</v>
      </c>
      <c r="E17" s="4">
        <v>100150715586</v>
      </c>
      <c r="F17" s="4">
        <v>0</v>
      </c>
      <c r="G17" s="138" t="s">
        <v>102</v>
      </c>
      <c r="H17" s="22" t="s">
        <v>260</v>
      </c>
      <c r="I17" s="110" t="s">
        <v>84</v>
      </c>
      <c r="J17" s="33">
        <v>41369</v>
      </c>
      <c r="K17" s="2"/>
      <c r="L17" s="15">
        <v>46052</v>
      </c>
      <c r="M17" s="17" t="str">
        <f t="shared" si="2"/>
        <v>12 years,9 months</v>
      </c>
      <c r="N17" s="1">
        <f>VLOOKUP(C17,'[1]stff-sal'!$B$2:$R$41,17,0)</f>
        <v>18</v>
      </c>
      <c r="O17" s="1">
        <v>0</v>
      </c>
      <c r="P17" s="1">
        <v>0</v>
      </c>
      <c r="Q17" s="1">
        <f>VLOOKUP(C17,'[1]stff-sal'!$B$2:$S$41,18,0)</f>
        <v>2</v>
      </c>
      <c r="R17" s="1">
        <v>0</v>
      </c>
      <c r="S17" s="1">
        <v>0</v>
      </c>
      <c r="T17" s="1">
        <f t="shared" si="3"/>
        <v>20</v>
      </c>
      <c r="U17" s="2">
        <f t="shared" si="4"/>
        <v>22500</v>
      </c>
      <c r="V17" s="2">
        <f t="shared" si="5"/>
        <v>9000</v>
      </c>
      <c r="W17" s="2">
        <f t="shared" si="6"/>
        <v>4500</v>
      </c>
      <c r="X17" s="2">
        <f t="shared" si="7"/>
        <v>4500</v>
      </c>
      <c r="Y17" s="2">
        <f t="shared" si="8"/>
        <v>4500</v>
      </c>
      <c r="Z17" s="2">
        <v>45000</v>
      </c>
      <c r="AA17" s="4">
        <f t="shared" si="9"/>
        <v>16666.666666666668</v>
      </c>
      <c r="AB17" s="4">
        <f t="shared" si="10"/>
        <v>6666.6666666666661</v>
      </c>
      <c r="AC17" s="4">
        <f t="shared" si="11"/>
        <v>3333.333333333333</v>
      </c>
      <c r="AD17" s="4">
        <f t="shared" si="12"/>
        <v>3333.333333333333</v>
      </c>
      <c r="AE17" s="4">
        <f t="shared" si="13"/>
        <v>3333.333333333333</v>
      </c>
      <c r="AF17" s="283">
        <f t="shared" si="14"/>
        <v>33333.333333333336</v>
      </c>
      <c r="AG17" s="4">
        <f t="shared" si="15"/>
        <v>15000</v>
      </c>
      <c r="AH17" s="4">
        <f t="shared" si="16"/>
        <v>0</v>
      </c>
      <c r="AI17" s="4">
        <f t="shared" si="17"/>
        <v>1800</v>
      </c>
      <c r="AJ17" s="181">
        <v>1800</v>
      </c>
      <c r="AK17" s="4">
        <f t="shared" si="18"/>
        <v>0</v>
      </c>
      <c r="AL17" s="181">
        <v>0</v>
      </c>
      <c r="AM17" s="4">
        <v>0</v>
      </c>
      <c r="AN17" s="2">
        <v>0</v>
      </c>
      <c r="AO17" s="2">
        <v>0</v>
      </c>
      <c r="AP17" s="2">
        <v>0</v>
      </c>
      <c r="AQ17" s="4">
        <f t="shared" si="19"/>
        <v>3600</v>
      </c>
      <c r="AR17" s="4">
        <f t="shared" si="20"/>
        <v>29733.333333333336</v>
      </c>
      <c r="AS17" s="2"/>
      <c r="AT17" s="16">
        <v>0</v>
      </c>
      <c r="AU17" s="2">
        <v>0</v>
      </c>
      <c r="AV17" s="2">
        <f t="shared" si="21"/>
        <v>0</v>
      </c>
      <c r="AW17" s="2">
        <f t="shared" si="22"/>
        <v>0</v>
      </c>
    </row>
    <row r="18" spans="2:49" ht="45" customHeight="1" x14ac:dyDescent="0.25">
      <c r="B18" s="21">
        <v>13</v>
      </c>
      <c r="C18" s="109">
        <v>1016</v>
      </c>
      <c r="D18" s="109">
        <v>1016</v>
      </c>
      <c r="E18" s="4">
        <v>101142682317</v>
      </c>
      <c r="F18" s="4">
        <v>0</v>
      </c>
      <c r="G18" s="138" t="s">
        <v>103</v>
      </c>
      <c r="H18" s="22" t="s">
        <v>262</v>
      </c>
      <c r="I18" s="110" t="s">
        <v>90</v>
      </c>
      <c r="J18" s="33">
        <v>42321</v>
      </c>
      <c r="K18" s="2"/>
      <c r="L18" s="15">
        <v>46052</v>
      </c>
      <c r="M18" s="17" t="str">
        <f t="shared" si="2"/>
        <v>10 years,2 months</v>
      </c>
      <c r="N18" s="1">
        <f>VLOOKUP(C18,'[1]stff-sal'!$B$2:$R$41,17,0)</f>
        <v>27</v>
      </c>
      <c r="O18" s="1">
        <v>0</v>
      </c>
      <c r="P18" s="1">
        <v>0</v>
      </c>
      <c r="Q18" s="1">
        <f>VLOOKUP(C18,'[1]stff-sal'!$B$2:$S$41,18,0)</f>
        <v>0</v>
      </c>
      <c r="R18" s="1">
        <v>0</v>
      </c>
      <c r="S18" s="1">
        <v>0</v>
      </c>
      <c r="T18" s="1">
        <f t="shared" si="3"/>
        <v>27</v>
      </c>
      <c r="U18" s="2">
        <f t="shared" si="4"/>
        <v>14525</v>
      </c>
      <c r="V18" s="2">
        <f t="shared" si="5"/>
        <v>5810</v>
      </c>
      <c r="W18" s="2">
        <f t="shared" si="6"/>
        <v>2905</v>
      </c>
      <c r="X18" s="2">
        <f t="shared" si="7"/>
        <v>2905</v>
      </c>
      <c r="Y18" s="2">
        <f t="shared" si="8"/>
        <v>2905</v>
      </c>
      <c r="Z18" s="2">
        <v>29050</v>
      </c>
      <c r="AA18" s="4">
        <f t="shared" si="9"/>
        <v>14525</v>
      </c>
      <c r="AB18" s="4">
        <f t="shared" si="10"/>
        <v>5810</v>
      </c>
      <c r="AC18" s="4">
        <f t="shared" si="11"/>
        <v>2905</v>
      </c>
      <c r="AD18" s="4">
        <f t="shared" si="12"/>
        <v>2905</v>
      </c>
      <c r="AE18" s="4">
        <f t="shared" si="13"/>
        <v>2905</v>
      </c>
      <c r="AF18" s="283">
        <f t="shared" si="14"/>
        <v>29050</v>
      </c>
      <c r="AG18" s="4">
        <f t="shared" si="15"/>
        <v>15000</v>
      </c>
      <c r="AH18" s="4">
        <f t="shared" si="16"/>
        <v>0</v>
      </c>
      <c r="AI18" s="4">
        <f t="shared" si="17"/>
        <v>1800</v>
      </c>
      <c r="AJ18" s="181">
        <v>1800</v>
      </c>
      <c r="AK18" s="4">
        <f t="shared" si="18"/>
        <v>0</v>
      </c>
      <c r="AL18" s="181">
        <v>0</v>
      </c>
      <c r="AM18" s="4">
        <v>0</v>
      </c>
      <c r="AN18" s="2">
        <v>0</v>
      </c>
      <c r="AO18" s="2">
        <v>0</v>
      </c>
      <c r="AP18" s="2">
        <v>0</v>
      </c>
      <c r="AQ18" s="4">
        <f t="shared" si="19"/>
        <v>3600</v>
      </c>
      <c r="AR18" s="4">
        <f t="shared" si="20"/>
        <v>25450</v>
      </c>
      <c r="AS18" s="2"/>
      <c r="AT18" s="16">
        <v>0</v>
      </c>
      <c r="AU18" s="2">
        <v>0</v>
      </c>
      <c r="AV18" s="2">
        <f t="shared" si="21"/>
        <v>0</v>
      </c>
      <c r="AW18" s="2">
        <f t="shared" si="22"/>
        <v>0</v>
      </c>
    </row>
    <row r="19" spans="2:49" ht="45" customHeight="1" x14ac:dyDescent="0.25">
      <c r="B19" s="21">
        <v>14</v>
      </c>
      <c r="C19" s="109">
        <v>1017</v>
      </c>
      <c r="D19" s="109">
        <v>1017</v>
      </c>
      <c r="E19" s="4">
        <v>101187107583</v>
      </c>
      <c r="F19" s="4">
        <v>0</v>
      </c>
      <c r="G19" s="138" t="s">
        <v>104</v>
      </c>
      <c r="H19" s="22" t="s">
        <v>262</v>
      </c>
      <c r="I19" s="110" t="s">
        <v>90</v>
      </c>
      <c r="J19" s="33">
        <v>42499</v>
      </c>
      <c r="K19" s="2"/>
      <c r="L19" s="15">
        <v>46052</v>
      </c>
      <c r="M19" s="17" t="str">
        <f t="shared" si="2"/>
        <v>9 years,8 months</v>
      </c>
      <c r="N19" s="1">
        <f>VLOOKUP(C19,'[1]stff-sal'!$B$2:$R$41,17,0)</f>
        <v>24</v>
      </c>
      <c r="O19" s="1">
        <v>0</v>
      </c>
      <c r="P19" s="1">
        <v>0</v>
      </c>
      <c r="Q19" s="1">
        <f>VLOOKUP(C19,'[1]stff-sal'!$B$2:$S$41,18,0)</f>
        <v>2</v>
      </c>
      <c r="R19" s="1">
        <v>0</v>
      </c>
      <c r="S19" s="1">
        <v>0</v>
      </c>
      <c r="T19" s="1">
        <f t="shared" si="3"/>
        <v>26</v>
      </c>
      <c r="U19" s="2">
        <f t="shared" si="4"/>
        <v>14610</v>
      </c>
      <c r="V19" s="2">
        <f t="shared" si="5"/>
        <v>5844</v>
      </c>
      <c r="W19" s="2">
        <f t="shared" si="6"/>
        <v>2922</v>
      </c>
      <c r="X19" s="2">
        <f t="shared" si="7"/>
        <v>2922</v>
      </c>
      <c r="Y19" s="2">
        <f t="shared" si="8"/>
        <v>2922</v>
      </c>
      <c r="Z19" s="2">
        <v>29220</v>
      </c>
      <c r="AA19" s="4">
        <f t="shared" si="9"/>
        <v>14068.888888888889</v>
      </c>
      <c r="AB19" s="4">
        <f t="shared" si="10"/>
        <v>5627.5555555555557</v>
      </c>
      <c r="AC19" s="4">
        <f t="shared" si="11"/>
        <v>2813.7777777777778</v>
      </c>
      <c r="AD19" s="4">
        <f t="shared" si="12"/>
        <v>2813.7777777777778</v>
      </c>
      <c r="AE19" s="4">
        <f t="shared" si="13"/>
        <v>2813.7777777777778</v>
      </c>
      <c r="AF19" s="283">
        <f t="shared" si="14"/>
        <v>28137.777777777777</v>
      </c>
      <c r="AG19" s="4">
        <f t="shared" si="15"/>
        <v>15000</v>
      </c>
      <c r="AH19" s="4">
        <f t="shared" si="16"/>
        <v>0</v>
      </c>
      <c r="AI19" s="4">
        <f t="shared" si="17"/>
        <v>1800</v>
      </c>
      <c r="AJ19" s="181">
        <v>1800</v>
      </c>
      <c r="AK19" s="4">
        <f t="shared" si="18"/>
        <v>0</v>
      </c>
      <c r="AL19" s="181">
        <v>0</v>
      </c>
      <c r="AM19" s="4">
        <v>0</v>
      </c>
      <c r="AN19" s="2">
        <v>0</v>
      </c>
      <c r="AO19" s="2">
        <v>0</v>
      </c>
      <c r="AP19" s="2">
        <v>1500</v>
      </c>
      <c r="AQ19" s="4">
        <f t="shared" si="19"/>
        <v>5100</v>
      </c>
      <c r="AR19" s="4">
        <f t="shared" si="20"/>
        <v>23037.777777777777</v>
      </c>
      <c r="AS19" s="2"/>
      <c r="AT19" s="16">
        <v>0</v>
      </c>
      <c r="AU19" s="2">
        <v>131000</v>
      </c>
      <c r="AV19" s="2">
        <f t="shared" si="21"/>
        <v>131000</v>
      </c>
      <c r="AW19" s="2">
        <f t="shared" si="22"/>
        <v>129500</v>
      </c>
    </row>
    <row r="20" spans="2:49" ht="45" customHeight="1" x14ac:dyDescent="0.25">
      <c r="B20" s="21">
        <v>15</v>
      </c>
      <c r="C20" s="109">
        <v>1019</v>
      </c>
      <c r="D20" s="109">
        <v>1019</v>
      </c>
      <c r="E20" s="4">
        <v>101620870841</v>
      </c>
      <c r="F20" s="4">
        <v>5611269029</v>
      </c>
      <c r="G20" s="138" t="s">
        <v>105</v>
      </c>
      <c r="H20" s="22" t="s">
        <v>263</v>
      </c>
      <c r="I20" s="110" t="s">
        <v>84</v>
      </c>
      <c r="J20" s="33">
        <v>43217</v>
      </c>
      <c r="K20" s="2"/>
      <c r="L20" s="15">
        <v>46052</v>
      </c>
      <c r="M20" s="17" t="str">
        <f t="shared" si="2"/>
        <v>7 years,9 months</v>
      </c>
      <c r="N20" s="1">
        <f>VLOOKUP(C20,'[1]stff-sal'!$B$2:$R$41,17,0)</f>
        <v>27</v>
      </c>
      <c r="O20" s="1">
        <v>0</v>
      </c>
      <c r="P20" s="1">
        <v>0</v>
      </c>
      <c r="Q20" s="1">
        <f>VLOOKUP(C20,'[1]stff-sal'!$B$2:$S$41,18,0)</f>
        <v>0</v>
      </c>
      <c r="R20" s="1">
        <v>0</v>
      </c>
      <c r="S20" s="1">
        <v>0</v>
      </c>
      <c r="T20" s="1">
        <f t="shared" si="3"/>
        <v>27</v>
      </c>
      <c r="U20" s="2">
        <f t="shared" si="4"/>
        <v>11250</v>
      </c>
      <c r="V20" s="2">
        <f t="shared" si="5"/>
        <v>4500</v>
      </c>
      <c r="W20" s="2">
        <f t="shared" si="6"/>
        <v>2250</v>
      </c>
      <c r="X20" s="2">
        <f t="shared" si="7"/>
        <v>2250</v>
      </c>
      <c r="Y20" s="2">
        <f t="shared" si="8"/>
        <v>2250</v>
      </c>
      <c r="Z20" s="2">
        <v>22500</v>
      </c>
      <c r="AA20" s="4">
        <f t="shared" si="9"/>
        <v>11250</v>
      </c>
      <c r="AB20" s="4">
        <f t="shared" si="10"/>
        <v>4500</v>
      </c>
      <c r="AC20" s="4">
        <f t="shared" si="11"/>
        <v>2250</v>
      </c>
      <c r="AD20" s="4">
        <f t="shared" si="12"/>
        <v>2250</v>
      </c>
      <c r="AE20" s="4">
        <f t="shared" si="13"/>
        <v>2250</v>
      </c>
      <c r="AF20" s="283">
        <f t="shared" si="14"/>
        <v>22500</v>
      </c>
      <c r="AG20" s="4">
        <f t="shared" si="15"/>
        <v>15000</v>
      </c>
      <c r="AH20" s="4">
        <f t="shared" si="16"/>
        <v>0</v>
      </c>
      <c r="AI20" s="4">
        <f t="shared" si="17"/>
        <v>1800</v>
      </c>
      <c r="AJ20" s="181">
        <v>1800</v>
      </c>
      <c r="AK20" s="4">
        <f t="shared" si="18"/>
        <v>0</v>
      </c>
      <c r="AL20" s="181">
        <v>0</v>
      </c>
      <c r="AM20" s="4">
        <v>0</v>
      </c>
      <c r="AN20" s="2">
        <v>0</v>
      </c>
      <c r="AO20" s="2">
        <v>0</v>
      </c>
      <c r="AP20" s="2">
        <v>0</v>
      </c>
      <c r="AQ20" s="4">
        <f t="shared" si="19"/>
        <v>3600</v>
      </c>
      <c r="AR20" s="4">
        <f t="shared" si="20"/>
        <v>18900</v>
      </c>
      <c r="AS20" s="2"/>
      <c r="AT20" s="16">
        <v>0</v>
      </c>
      <c r="AU20" s="2">
        <v>0</v>
      </c>
      <c r="AV20" s="2">
        <f t="shared" si="21"/>
        <v>0</v>
      </c>
      <c r="AW20" s="2">
        <f t="shared" si="22"/>
        <v>0</v>
      </c>
    </row>
    <row r="21" spans="2:49" ht="45" customHeight="1" x14ac:dyDescent="0.25">
      <c r="B21" s="21">
        <v>16</v>
      </c>
      <c r="C21" s="109">
        <v>1020</v>
      </c>
      <c r="D21" s="109">
        <v>1020</v>
      </c>
      <c r="E21" s="4">
        <v>101586300039</v>
      </c>
      <c r="F21" s="4">
        <v>0</v>
      </c>
      <c r="G21" s="138" t="s">
        <v>106</v>
      </c>
      <c r="H21" s="22" t="s">
        <v>265</v>
      </c>
      <c r="I21" s="110" t="s">
        <v>84</v>
      </c>
      <c r="J21" s="33">
        <v>43621</v>
      </c>
      <c r="K21" s="2"/>
      <c r="L21" s="15">
        <v>46052</v>
      </c>
      <c r="M21" s="17" t="str">
        <f t="shared" si="2"/>
        <v>6 years,7 months</v>
      </c>
      <c r="N21" s="1">
        <f>VLOOKUP(C21,'[1]stff-sal'!$B$2:$R$41,17,0)</f>
        <v>20.5</v>
      </c>
      <c r="O21" s="1">
        <v>0</v>
      </c>
      <c r="P21" s="1">
        <v>0</v>
      </c>
      <c r="Q21" s="1">
        <f>VLOOKUP(C21,'[1]stff-sal'!$B$2:$S$41,18,0)</f>
        <v>2</v>
      </c>
      <c r="R21" s="1">
        <v>0</v>
      </c>
      <c r="S21" s="1">
        <v>0</v>
      </c>
      <c r="T21" s="1">
        <f t="shared" si="3"/>
        <v>22.5</v>
      </c>
      <c r="U21" s="2">
        <f t="shared" si="4"/>
        <v>14500</v>
      </c>
      <c r="V21" s="2">
        <f t="shared" si="5"/>
        <v>5800</v>
      </c>
      <c r="W21" s="2">
        <f t="shared" si="6"/>
        <v>2900</v>
      </c>
      <c r="X21" s="2">
        <f t="shared" si="7"/>
        <v>2900</v>
      </c>
      <c r="Y21" s="2">
        <f t="shared" si="8"/>
        <v>2900</v>
      </c>
      <c r="Z21" s="2">
        <v>29000</v>
      </c>
      <c r="AA21" s="4">
        <f t="shared" si="9"/>
        <v>12083.333333333334</v>
      </c>
      <c r="AB21" s="4">
        <f t="shared" si="10"/>
        <v>4833.333333333333</v>
      </c>
      <c r="AC21" s="4">
        <f t="shared" si="11"/>
        <v>2416.6666666666665</v>
      </c>
      <c r="AD21" s="4">
        <f t="shared" si="12"/>
        <v>2416.6666666666665</v>
      </c>
      <c r="AE21" s="4">
        <f t="shared" si="13"/>
        <v>2416.6666666666665</v>
      </c>
      <c r="AF21" s="283">
        <f t="shared" si="14"/>
        <v>24166.666666666672</v>
      </c>
      <c r="AG21" s="4">
        <f t="shared" si="15"/>
        <v>15000</v>
      </c>
      <c r="AH21" s="4">
        <f t="shared" si="16"/>
        <v>0</v>
      </c>
      <c r="AI21" s="4">
        <f t="shared" si="17"/>
        <v>1800</v>
      </c>
      <c r="AJ21" s="181">
        <v>1800</v>
      </c>
      <c r="AK21" s="4">
        <f t="shared" si="18"/>
        <v>0</v>
      </c>
      <c r="AL21" s="181">
        <v>0</v>
      </c>
      <c r="AM21" s="4">
        <v>0</v>
      </c>
      <c r="AN21" s="2">
        <v>0</v>
      </c>
      <c r="AO21" s="2">
        <v>0</v>
      </c>
      <c r="AP21" s="2">
        <v>0</v>
      </c>
      <c r="AQ21" s="4">
        <f t="shared" si="19"/>
        <v>3600</v>
      </c>
      <c r="AR21" s="4">
        <f t="shared" si="20"/>
        <v>20566.666666666672</v>
      </c>
      <c r="AS21" s="2"/>
      <c r="AT21" s="16">
        <v>0</v>
      </c>
      <c r="AU21" s="2">
        <v>0</v>
      </c>
      <c r="AV21" s="2">
        <f t="shared" si="21"/>
        <v>0</v>
      </c>
      <c r="AW21" s="2">
        <f t="shared" si="22"/>
        <v>0</v>
      </c>
    </row>
    <row r="22" spans="2:49" ht="45" customHeight="1" x14ac:dyDescent="0.25">
      <c r="B22" s="21">
        <v>17</v>
      </c>
      <c r="C22" s="109">
        <v>1021</v>
      </c>
      <c r="D22" s="109">
        <v>1021</v>
      </c>
      <c r="E22" s="4">
        <v>101586300041</v>
      </c>
      <c r="F22" s="4">
        <v>0</v>
      </c>
      <c r="G22" s="138" t="s">
        <v>107</v>
      </c>
      <c r="H22" s="22" t="s">
        <v>265</v>
      </c>
      <c r="I22" s="110" t="s">
        <v>84</v>
      </c>
      <c r="J22" s="33">
        <v>43621</v>
      </c>
      <c r="K22" s="2"/>
      <c r="L22" s="15">
        <v>46052</v>
      </c>
      <c r="M22" s="17" t="str">
        <f t="shared" si="2"/>
        <v>6 years,7 months</v>
      </c>
      <c r="N22" s="1">
        <f>VLOOKUP(C22,'[1]stff-sal'!$B$2:$R$41,17,0)</f>
        <v>27</v>
      </c>
      <c r="O22" s="1">
        <v>0</v>
      </c>
      <c r="P22" s="1">
        <v>0</v>
      </c>
      <c r="Q22" s="1">
        <f>VLOOKUP(C22,'[1]stff-sal'!$B$2:$S$41,18,0)</f>
        <v>0</v>
      </c>
      <c r="R22" s="1">
        <v>0</v>
      </c>
      <c r="S22" s="1">
        <v>0</v>
      </c>
      <c r="T22" s="1">
        <f t="shared" si="3"/>
        <v>27</v>
      </c>
      <c r="U22" s="2">
        <f t="shared" si="4"/>
        <v>15542.5</v>
      </c>
      <c r="V22" s="2">
        <f t="shared" si="5"/>
        <v>6217</v>
      </c>
      <c r="W22" s="2">
        <f t="shared" si="6"/>
        <v>3108.5</v>
      </c>
      <c r="X22" s="2">
        <f t="shared" si="7"/>
        <v>3108.5</v>
      </c>
      <c r="Y22" s="2">
        <f t="shared" si="8"/>
        <v>3108.5</v>
      </c>
      <c r="Z22" s="2">
        <v>31085</v>
      </c>
      <c r="AA22" s="4">
        <f t="shared" si="9"/>
        <v>15542.5</v>
      </c>
      <c r="AB22" s="4">
        <f t="shared" si="10"/>
        <v>6217</v>
      </c>
      <c r="AC22" s="4">
        <f t="shared" si="11"/>
        <v>3108.5</v>
      </c>
      <c r="AD22" s="4">
        <f t="shared" si="12"/>
        <v>3108.5</v>
      </c>
      <c r="AE22" s="4">
        <f t="shared" si="13"/>
        <v>3108.5</v>
      </c>
      <c r="AF22" s="283">
        <f t="shared" si="14"/>
        <v>31085</v>
      </c>
      <c r="AG22" s="4">
        <f t="shared" si="15"/>
        <v>15000</v>
      </c>
      <c r="AH22" s="4">
        <f t="shared" si="16"/>
        <v>0</v>
      </c>
      <c r="AI22" s="4">
        <f t="shared" si="17"/>
        <v>1800</v>
      </c>
      <c r="AJ22" s="181">
        <v>1800</v>
      </c>
      <c r="AK22" s="4">
        <f t="shared" si="18"/>
        <v>0</v>
      </c>
      <c r="AL22" s="181">
        <v>0</v>
      </c>
      <c r="AM22" s="4">
        <v>0</v>
      </c>
      <c r="AN22" s="2">
        <v>0</v>
      </c>
      <c r="AO22" s="2">
        <v>0</v>
      </c>
      <c r="AP22" s="2">
        <v>0</v>
      </c>
      <c r="AQ22" s="4">
        <f t="shared" si="19"/>
        <v>3600</v>
      </c>
      <c r="AR22" s="4">
        <f t="shared" si="20"/>
        <v>27485</v>
      </c>
      <c r="AS22" s="2"/>
      <c r="AT22" s="16">
        <v>0</v>
      </c>
      <c r="AU22" s="2">
        <v>0</v>
      </c>
      <c r="AV22" s="2">
        <f t="shared" si="21"/>
        <v>0</v>
      </c>
      <c r="AW22" s="2">
        <f t="shared" si="22"/>
        <v>0</v>
      </c>
    </row>
    <row r="23" spans="2:49" ht="45" customHeight="1" x14ac:dyDescent="0.25">
      <c r="B23" s="21">
        <v>18</v>
      </c>
      <c r="C23" s="109">
        <v>1022</v>
      </c>
      <c r="D23" s="109">
        <v>1022</v>
      </c>
      <c r="E23" s="4">
        <v>101562602009</v>
      </c>
      <c r="F23" s="4">
        <v>0</v>
      </c>
      <c r="G23" s="138" t="s">
        <v>108</v>
      </c>
      <c r="H23" s="22" t="s">
        <v>264</v>
      </c>
      <c r="I23" s="110" t="s">
        <v>109</v>
      </c>
      <c r="J23" s="33">
        <v>43736</v>
      </c>
      <c r="K23" s="2"/>
      <c r="L23" s="15">
        <v>46052</v>
      </c>
      <c r="M23" s="17" t="str">
        <f t="shared" si="2"/>
        <v>6 years,4 months</v>
      </c>
      <c r="N23" s="1">
        <f>VLOOKUP(C23,'[1]stff-sal'!$B$2:$R$41,17,0)</f>
        <v>27</v>
      </c>
      <c r="O23" s="1">
        <v>0</v>
      </c>
      <c r="P23" s="1">
        <v>0</v>
      </c>
      <c r="Q23" s="1">
        <f>VLOOKUP(C23,'[1]stff-sal'!$B$2:$S$41,18,0)</f>
        <v>0</v>
      </c>
      <c r="R23" s="1">
        <v>0</v>
      </c>
      <c r="S23" s="1">
        <v>0</v>
      </c>
      <c r="T23" s="1">
        <f t="shared" si="3"/>
        <v>27</v>
      </c>
      <c r="U23" s="2">
        <f t="shared" si="4"/>
        <v>20000</v>
      </c>
      <c r="V23" s="2">
        <f t="shared" si="5"/>
        <v>8000</v>
      </c>
      <c r="W23" s="2">
        <f t="shared" si="6"/>
        <v>4000</v>
      </c>
      <c r="X23" s="2">
        <f t="shared" si="7"/>
        <v>4000</v>
      </c>
      <c r="Y23" s="2">
        <f t="shared" si="8"/>
        <v>4000</v>
      </c>
      <c r="Z23" s="2">
        <v>40000</v>
      </c>
      <c r="AA23" s="4">
        <f t="shared" si="9"/>
        <v>20000</v>
      </c>
      <c r="AB23" s="4">
        <f t="shared" si="10"/>
        <v>8000</v>
      </c>
      <c r="AC23" s="4">
        <f t="shared" si="11"/>
        <v>4000</v>
      </c>
      <c r="AD23" s="4">
        <f t="shared" si="12"/>
        <v>4000</v>
      </c>
      <c r="AE23" s="4">
        <f t="shared" si="13"/>
        <v>4000</v>
      </c>
      <c r="AF23" s="283">
        <f t="shared" si="14"/>
        <v>40000</v>
      </c>
      <c r="AG23" s="4">
        <f t="shared" si="15"/>
        <v>15000</v>
      </c>
      <c r="AH23" s="4">
        <f t="shared" si="16"/>
        <v>0</v>
      </c>
      <c r="AI23" s="4">
        <f t="shared" si="17"/>
        <v>1800</v>
      </c>
      <c r="AJ23" s="181">
        <v>1800</v>
      </c>
      <c r="AK23" s="4">
        <f t="shared" si="18"/>
        <v>0</v>
      </c>
      <c r="AL23" s="181">
        <v>0</v>
      </c>
      <c r="AM23" s="4">
        <v>0</v>
      </c>
      <c r="AN23" s="2">
        <v>0</v>
      </c>
      <c r="AO23" s="2">
        <v>0</v>
      </c>
      <c r="AP23" s="2">
        <v>0</v>
      </c>
      <c r="AQ23" s="4">
        <f t="shared" si="19"/>
        <v>3600</v>
      </c>
      <c r="AR23" s="4">
        <f t="shared" si="20"/>
        <v>36400</v>
      </c>
      <c r="AS23" s="2"/>
      <c r="AT23" s="16">
        <v>0</v>
      </c>
      <c r="AU23" s="2">
        <v>0</v>
      </c>
      <c r="AV23" s="2">
        <f t="shared" si="21"/>
        <v>0</v>
      </c>
      <c r="AW23" s="2">
        <f t="shared" si="22"/>
        <v>0</v>
      </c>
    </row>
    <row r="24" spans="2:49" ht="45" customHeight="1" x14ac:dyDescent="0.25">
      <c r="B24" s="21">
        <v>19</v>
      </c>
      <c r="C24" s="109">
        <v>1024</v>
      </c>
      <c r="D24" s="109">
        <v>1024</v>
      </c>
      <c r="E24" s="4">
        <v>101662725486</v>
      </c>
      <c r="F24" s="4">
        <v>5131731054</v>
      </c>
      <c r="G24" s="138" t="s">
        <v>110</v>
      </c>
      <c r="H24" s="22" t="s">
        <v>265</v>
      </c>
      <c r="I24" s="110" t="s">
        <v>88</v>
      </c>
      <c r="J24" s="33">
        <v>44435</v>
      </c>
      <c r="K24" s="2"/>
      <c r="L24" s="15">
        <v>46052</v>
      </c>
      <c r="M24" s="17" t="str">
        <f t="shared" si="2"/>
        <v>4 years,5 months</v>
      </c>
      <c r="N24" s="1">
        <f>VLOOKUP(C24,'[1]stff-sal'!$B$2:$R$41,17,0)</f>
        <v>26</v>
      </c>
      <c r="O24" s="1">
        <v>0</v>
      </c>
      <c r="P24" s="1">
        <v>0</v>
      </c>
      <c r="Q24" s="1">
        <f>VLOOKUP(C24,'[1]stff-sal'!$B$2:$S$41,18,0)</f>
        <v>1</v>
      </c>
      <c r="R24" s="1">
        <v>0</v>
      </c>
      <c r="S24" s="1">
        <v>0</v>
      </c>
      <c r="T24" s="1">
        <f t="shared" si="3"/>
        <v>27</v>
      </c>
      <c r="U24" s="2">
        <f t="shared" si="4"/>
        <v>10250</v>
      </c>
      <c r="V24" s="2">
        <f t="shared" si="5"/>
        <v>4100</v>
      </c>
      <c r="W24" s="2">
        <f t="shared" si="6"/>
        <v>2050</v>
      </c>
      <c r="X24" s="2">
        <f t="shared" si="7"/>
        <v>2050</v>
      </c>
      <c r="Y24" s="2">
        <f t="shared" si="8"/>
        <v>2050</v>
      </c>
      <c r="Z24" s="2">
        <v>20500</v>
      </c>
      <c r="AA24" s="4">
        <f t="shared" si="9"/>
        <v>10250</v>
      </c>
      <c r="AB24" s="4">
        <f t="shared" si="10"/>
        <v>4100</v>
      </c>
      <c r="AC24" s="4">
        <f t="shared" si="11"/>
        <v>2050</v>
      </c>
      <c r="AD24" s="4">
        <f t="shared" si="12"/>
        <v>2050</v>
      </c>
      <c r="AE24" s="4">
        <f t="shared" si="13"/>
        <v>2050</v>
      </c>
      <c r="AF24" s="283">
        <f t="shared" si="14"/>
        <v>20500</v>
      </c>
      <c r="AG24" s="4">
        <f t="shared" si="15"/>
        <v>15000</v>
      </c>
      <c r="AH24" s="4">
        <f t="shared" si="16"/>
        <v>18450</v>
      </c>
      <c r="AI24" s="4">
        <f t="shared" si="17"/>
        <v>1800</v>
      </c>
      <c r="AJ24" s="181">
        <v>1800</v>
      </c>
      <c r="AK24" s="4">
        <f t="shared" si="18"/>
        <v>139</v>
      </c>
      <c r="AL24" s="181">
        <v>143</v>
      </c>
      <c r="AM24" s="4">
        <v>0</v>
      </c>
      <c r="AN24" s="2">
        <v>0</v>
      </c>
      <c r="AO24" s="2">
        <v>0</v>
      </c>
      <c r="AP24" s="2">
        <v>0</v>
      </c>
      <c r="AQ24" s="4">
        <f t="shared" si="19"/>
        <v>3882</v>
      </c>
      <c r="AR24" s="4">
        <f t="shared" si="20"/>
        <v>16618</v>
      </c>
      <c r="AS24" s="2"/>
      <c r="AT24" s="16">
        <v>0</v>
      </c>
      <c r="AU24" s="2">
        <v>0</v>
      </c>
      <c r="AV24" s="2">
        <f t="shared" si="21"/>
        <v>0</v>
      </c>
      <c r="AW24" s="2">
        <f t="shared" si="22"/>
        <v>0</v>
      </c>
    </row>
    <row r="25" spans="2:49" ht="45" customHeight="1" x14ac:dyDescent="0.25">
      <c r="B25" s="21">
        <v>20</v>
      </c>
      <c r="C25" s="109">
        <v>1025</v>
      </c>
      <c r="D25" s="109">
        <v>1025</v>
      </c>
      <c r="E25" s="4">
        <v>101277800875</v>
      </c>
      <c r="F25" s="4">
        <v>5609904442</v>
      </c>
      <c r="G25" s="138" t="s">
        <v>111</v>
      </c>
      <c r="H25" s="22" t="s">
        <v>265</v>
      </c>
      <c r="I25" s="110" t="s">
        <v>84</v>
      </c>
      <c r="J25" s="33">
        <v>44435</v>
      </c>
      <c r="K25" s="2"/>
      <c r="L25" s="15">
        <v>46052</v>
      </c>
      <c r="M25" s="17" t="str">
        <f t="shared" si="2"/>
        <v>4 years,5 months</v>
      </c>
      <c r="N25" s="1">
        <f>VLOOKUP(C25,'[1]stff-sal'!$B$2:$R$41,17,0)</f>
        <v>23.5</v>
      </c>
      <c r="O25" s="1">
        <v>0</v>
      </c>
      <c r="P25" s="1">
        <v>0</v>
      </c>
      <c r="Q25" s="1">
        <f>VLOOKUP(C25,'[1]stff-sal'!$B$2:$S$41,18,0)</f>
        <v>2</v>
      </c>
      <c r="R25" s="1">
        <v>0</v>
      </c>
      <c r="S25" s="1">
        <v>0</v>
      </c>
      <c r="T25" s="1">
        <f t="shared" si="3"/>
        <v>25.5</v>
      </c>
      <c r="U25" s="2">
        <f t="shared" si="4"/>
        <v>11250</v>
      </c>
      <c r="V25" s="2">
        <f t="shared" si="5"/>
        <v>4500</v>
      </c>
      <c r="W25" s="2">
        <f t="shared" si="6"/>
        <v>2250</v>
      </c>
      <c r="X25" s="2">
        <f t="shared" si="7"/>
        <v>2250</v>
      </c>
      <c r="Y25" s="2">
        <f t="shared" si="8"/>
        <v>2250</v>
      </c>
      <c r="Z25" s="2">
        <v>22500</v>
      </c>
      <c r="AA25" s="4">
        <f t="shared" si="9"/>
        <v>10625</v>
      </c>
      <c r="AB25" s="4">
        <f t="shared" si="10"/>
        <v>4250</v>
      </c>
      <c r="AC25" s="4">
        <f t="shared" si="11"/>
        <v>2125</v>
      </c>
      <c r="AD25" s="4">
        <f t="shared" si="12"/>
        <v>2125</v>
      </c>
      <c r="AE25" s="4">
        <f t="shared" si="13"/>
        <v>2125</v>
      </c>
      <c r="AF25" s="283">
        <f t="shared" si="14"/>
        <v>21250</v>
      </c>
      <c r="AG25" s="4">
        <f t="shared" si="15"/>
        <v>15000</v>
      </c>
      <c r="AH25" s="4">
        <f t="shared" si="16"/>
        <v>0</v>
      </c>
      <c r="AI25" s="4">
        <f t="shared" si="17"/>
        <v>1800</v>
      </c>
      <c r="AJ25" s="181">
        <v>1800</v>
      </c>
      <c r="AK25" s="4">
        <f t="shared" si="18"/>
        <v>0</v>
      </c>
      <c r="AL25" s="181">
        <v>0</v>
      </c>
      <c r="AM25" s="4">
        <v>0</v>
      </c>
      <c r="AN25" s="2">
        <v>0</v>
      </c>
      <c r="AO25" s="2">
        <v>0</v>
      </c>
      <c r="AP25" s="2">
        <v>3000</v>
      </c>
      <c r="AQ25" s="4">
        <f t="shared" si="19"/>
        <v>6600</v>
      </c>
      <c r="AR25" s="4">
        <f t="shared" si="20"/>
        <v>14650</v>
      </c>
      <c r="AS25" s="2"/>
      <c r="AT25" s="16">
        <v>0</v>
      </c>
      <c r="AU25" s="2">
        <v>65000</v>
      </c>
      <c r="AV25" s="2">
        <f t="shared" si="21"/>
        <v>65000</v>
      </c>
      <c r="AW25" s="2">
        <f t="shared" si="22"/>
        <v>62000</v>
      </c>
    </row>
    <row r="26" spans="2:49" ht="45" customHeight="1" x14ac:dyDescent="0.25">
      <c r="B26" s="21">
        <v>21</v>
      </c>
      <c r="C26" s="109">
        <v>1028</v>
      </c>
      <c r="D26" s="109">
        <v>1028</v>
      </c>
      <c r="E26" s="4">
        <v>100363627736</v>
      </c>
      <c r="F26" s="4">
        <v>0</v>
      </c>
      <c r="G26" s="138" t="s">
        <v>112</v>
      </c>
      <c r="H26" s="22" t="s">
        <v>266</v>
      </c>
      <c r="I26" s="110" t="s">
        <v>109</v>
      </c>
      <c r="J26" s="33">
        <v>44553</v>
      </c>
      <c r="K26" s="2"/>
      <c r="L26" s="15">
        <v>46052</v>
      </c>
      <c r="M26" s="17" t="str">
        <f t="shared" si="2"/>
        <v>4 years,1 months</v>
      </c>
      <c r="N26" s="1">
        <f>VLOOKUP(C26,'[1]stff-sal'!$B$2:$R$41,17,0)</f>
        <v>26</v>
      </c>
      <c r="O26" s="1">
        <v>0</v>
      </c>
      <c r="P26" s="1">
        <v>0</v>
      </c>
      <c r="Q26" s="1">
        <f>VLOOKUP(C26,'[1]stff-sal'!$B$2:$S$41,18,0)</f>
        <v>1</v>
      </c>
      <c r="R26" s="1">
        <v>0</v>
      </c>
      <c r="S26" s="1">
        <v>0</v>
      </c>
      <c r="T26" s="1">
        <f t="shared" si="3"/>
        <v>27</v>
      </c>
      <c r="U26" s="2">
        <f t="shared" si="4"/>
        <v>30250</v>
      </c>
      <c r="V26" s="2">
        <f t="shared" si="5"/>
        <v>12100</v>
      </c>
      <c r="W26" s="2">
        <f t="shared" si="6"/>
        <v>6050</v>
      </c>
      <c r="X26" s="2">
        <f t="shared" si="7"/>
        <v>6050</v>
      </c>
      <c r="Y26" s="2">
        <f t="shared" si="8"/>
        <v>6050</v>
      </c>
      <c r="Z26" s="2">
        <v>60500</v>
      </c>
      <c r="AA26" s="4">
        <f t="shared" si="9"/>
        <v>30250</v>
      </c>
      <c r="AB26" s="4">
        <f t="shared" si="10"/>
        <v>12100</v>
      </c>
      <c r="AC26" s="4">
        <f t="shared" si="11"/>
        <v>6050</v>
      </c>
      <c r="AD26" s="4">
        <f t="shared" si="12"/>
        <v>6050</v>
      </c>
      <c r="AE26" s="4">
        <f t="shared" si="13"/>
        <v>6050</v>
      </c>
      <c r="AF26" s="283">
        <f t="shared" si="14"/>
        <v>60500</v>
      </c>
      <c r="AG26" s="4">
        <f t="shared" si="15"/>
        <v>15000</v>
      </c>
      <c r="AH26" s="4">
        <f t="shared" si="16"/>
        <v>0</v>
      </c>
      <c r="AI26" s="4">
        <f t="shared" si="17"/>
        <v>1800</v>
      </c>
      <c r="AJ26" s="181">
        <v>1800</v>
      </c>
      <c r="AK26" s="4">
        <f t="shared" si="18"/>
        <v>0</v>
      </c>
      <c r="AL26" s="181">
        <v>0</v>
      </c>
      <c r="AM26" s="4">
        <v>0</v>
      </c>
      <c r="AN26" s="2">
        <v>0</v>
      </c>
      <c r="AO26" s="2">
        <v>0</v>
      </c>
      <c r="AP26" s="2">
        <v>0</v>
      </c>
      <c r="AQ26" s="4">
        <f t="shared" si="19"/>
        <v>3600</v>
      </c>
      <c r="AR26" s="4">
        <f t="shared" si="20"/>
        <v>56900</v>
      </c>
      <c r="AS26" s="2"/>
      <c r="AT26" s="16">
        <v>0</v>
      </c>
      <c r="AU26" s="2">
        <v>0</v>
      </c>
      <c r="AV26" s="2">
        <f t="shared" si="21"/>
        <v>0</v>
      </c>
      <c r="AW26" s="2">
        <f t="shared" si="22"/>
        <v>0</v>
      </c>
    </row>
    <row r="27" spans="2:49" ht="45" customHeight="1" x14ac:dyDescent="0.25">
      <c r="B27" s="21">
        <v>22</v>
      </c>
      <c r="C27" s="109">
        <v>1032</v>
      </c>
      <c r="D27" s="109">
        <v>1032</v>
      </c>
      <c r="E27" s="4">
        <v>102048949615</v>
      </c>
      <c r="F27" s="4">
        <v>5610462728</v>
      </c>
      <c r="G27" s="138" t="s">
        <v>113</v>
      </c>
      <c r="H27" s="22" t="s">
        <v>265</v>
      </c>
      <c r="I27" s="110" t="s">
        <v>109</v>
      </c>
      <c r="J27" s="33">
        <v>44693</v>
      </c>
      <c r="K27" s="2"/>
      <c r="L27" s="15">
        <v>46052</v>
      </c>
      <c r="M27" s="17" t="str">
        <f t="shared" si="2"/>
        <v>3 years,8 months</v>
      </c>
      <c r="N27" s="1">
        <f>VLOOKUP(C27,'[1]stff-sal'!$B$2:$R$41,17,0)</f>
        <v>27</v>
      </c>
      <c r="O27" s="1">
        <v>0</v>
      </c>
      <c r="P27" s="1">
        <v>0</v>
      </c>
      <c r="Q27" s="1">
        <f>VLOOKUP(C27,'[1]stff-sal'!$B$2:$S$41,18,0)</f>
        <v>0</v>
      </c>
      <c r="R27" s="1">
        <v>0</v>
      </c>
      <c r="S27" s="1">
        <v>0</v>
      </c>
      <c r="T27" s="1">
        <f t="shared" si="3"/>
        <v>27</v>
      </c>
      <c r="U27" s="2">
        <f t="shared" si="4"/>
        <v>10750</v>
      </c>
      <c r="V27" s="2">
        <f t="shared" si="5"/>
        <v>4300</v>
      </c>
      <c r="W27" s="2">
        <f t="shared" si="6"/>
        <v>2150</v>
      </c>
      <c r="X27" s="2">
        <f t="shared" si="7"/>
        <v>2150</v>
      </c>
      <c r="Y27" s="2">
        <f t="shared" si="8"/>
        <v>2150</v>
      </c>
      <c r="Z27" s="2">
        <v>21500</v>
      </c>
      <c r="AA27" s="4">
        <f t="shared" si="9"/>
        <v>10750</v>
      </c>
      <c r="AB27" s="4">
        <f t="shared" si="10"/>
        <v>4300</v>
      </c>
      <c r="AC27" s="4">
        <f t="shared" si="11"/>
        <v>2150</v>
      </c>
      <c r="AD27" s="4">
        <f t="shared" si="12"/>
        <v>2150</v>
      </c>
      <c r="AE27" s="4">
        <f t="shared" si="13"/>
        <v>2150</v>
      </c>
      <c r="AF27" s="283">
        <f t="shared" si="14"/>
        <v>21500</v>
      </c>
      <c r="AG27" s="4">
        <f t="shared" si="15"/>
        <v>15000</v>
      </c>
      <c r="AH27" s="4">
        <f t="shared" si="16"/>
        <v>0</v>
      </c>
      <c r="AI27" s="4">
        <f t="shared" si="17"/>
        <v>1800</v>
      </c>
      <c r="AJ27" s="181">
        <v>1800</v>
      </c>
      <c r="AK27" s="4">
        <f t="shared" si="18"/>
        <v>0</v>
      </c>
      <c r="AL27" s="181">
        <v>0</v>
      </c>
      <c r="AM27" s="4">
        <v>0</v>
      </c>
      <c r="AN27" s="2">
        <v>0</v>
      </c>
      <c r="AO27" s="2">
        <v>0</v>
      </c>
      <c r="AP27" s="2">
        <v>0</v>
      </c>
      <c r="AQ27" s="4">
        <f t="shared" si="19"/>
        <v>3600</v>
      </c>
      <c r="AR27" s="4">
        <f t="shared" si="20"/>
        <v>17900</v>
      </c>
      <c r="AS27" s="2"/>
      <c r="AT27" s="16">
        <v>0</v>
      </c>
      <c r="AU27" s="2">
        <v>0</v>
      </c>
      <c r="AV27" s="2">
        <f t="shared" si="21"/>
        <v>0</v>
      </c>
      <c r="AW27" s="2">
        <f t="shared" si="22"/>
        <v>0</v>
      </c>
    </row>
    <row r="28" spans="2:49" ht="45" customHeight="1" x14ac:dyDescent="0.25">
      <c r="B28" s="21">
        <v>23</v>
      </c>
      <c r="C28" s="109">
        <v>1035</v>
      </c>
      <c r="D28" s="109">
        <v>1035</v>
      </c>
      <c r="E28" s="4">
        <v>101774638141</v>
      </c>
      <c r="F28" s="4">
        <v>0</v>
      </c>
      <c r="G28" s="138" t="s">
        <v>114</v>
      </c>
      <c r="H28" s="22" t="s">
        <v>262</v>
      </c>
      <c r="I28" s="110" t="s">
        <v>98</v>
      </c>
      <c r="J28" s="33">
        <v>44764</v>
      </c>
      <c r="K28" s="2"/>
      <c r="L28" s="15">
        <v>46052</v>
      </c>
      <c r="M28" s="17" t="str">
        <f t="shared" si="2"/>
        <v>3 years,6 months</v>
      </c>
      <c r="N28" s="1">
        <f>VLOOKUP(C28,'[1]stff-sal'!$B$2:$R$41,17,0)</f>
        <v>27</v>
      </c>
      <c r="O28" s="1">
        <v>0</v>
      </c>
      <c r="P28" s="1">
        <v>0</v>
      </c>
      <c r="Q28" s="1">
        <f>VLOOKUP(C28,'[1]stff-sal'!$B$2:$S$41,18,0)</f>
        <v>0</v>
      </c>
      <c r="R28" s="1">
        <v>0</v>
      </c>
      <c r="S28" s="1">
        <v>0</v>
      </c>
      <c r="T28" s="1">
        <f t="shared" si="3"/>
        <v>27</v>
      </c>
      <c r="U28" s="2">
        <f t="shared" si="4"/>
        <v>11750</v>
      </c>
      <c r="V28" s="2">
        <f t="shared" si="5"/>
        <v>4700</v>
      </c>
      <c r="W28" s="2">
        <f t="shared" si="6"/>
        <v>2350</v>
      </c>
      <c r="X28" s="2">
        <f t="shared" si="7"/>
        <v>2350</v>
      </c>
      <c r="Y28" s="2">
        <f t="shared" si="8"/>
        <v>2350</v>
      </c>
      <c r="Z28" s="2">
        <v>23500</v>
      </c>
      <c r="AA28" s="4">
        <f t="shared" si="9"/>
        <v>11750</v>
      </c>
      <c r="AB28" s="4">
        <f t="shared" si="10"/>
        <v>4700</v>
      </c>
      <c r="AC28" s="4">
        <f t="shared" si="11"/>
        <v>2350</v>
      </c>
      <c r="AD28" s="4">
        <f t="shared" si="12"/>
        <v>2350</v>
      </c>
      <c r="AE28" s="4">
        <f t="shared" si="13"/>
        <v>2350</v>
      </c>
      <c r="AF28" s="283">
        <f t="shared" si="14"/>
        <v>23500</v>
      </c>
      <c r="AG28" s="4">
        <f t="shared" si="15"/>
        <v>15000</v>
      </c>
      <c r="AH28" s="4">
        <f t="shared" si="16"/>
        <v>0</v>
      </c>
      <c r="AI28" s="4">
        <f t="shared" si="17"/>
        <v>1800</v>
      </c>
      <c r="AJ28" s="181">
        <v>1800</v>
      </c>
      <c r="AK28" s="4">
        <f t="shared" si="18"/>
        <v>0</v>
      </c>
      <c r="AL28" s="181">
        <v>0</v>
      </c>
      <c r="AM28" s="4">
        <v>0</v>
      </c>
      <c r="AN28" s="2">
        <v>0</v>
      </c>
      <c r="AO28" s="2">
        <v>0</v>
      </c>
      <c r="AP28" s="2">
        <v>1500</v>
      </c>
      <c r="AQ28" s="4">
        <f t="shared" si="19"/>
        <v>5100</v>
      </c>
      <c r="AR28" s="4">
        <f t="shared" si="20"/>
        <v>18400</v>
      </c>
      <c r="AS28" s="2"/>
      <c r="AT28" s="16">
        <v>0</v>
      </c>
      <c r="AU28" s="2">
        <v>98000</v>
      </c>
      <c r="AV28" s="2">
        <f t="shared" si="21"/>
        <v>98000</v>
      </c>
      <c r="AW28" s="2">
        <f t="shared" si="22"/>
        <v>96500</v>
      </c>
    </row>
    <row r="29" spans="2:49" ht="45" customHeight="1" x14ac:dyDescent="0.25">
      <c r="B29" s="21">
        <v>24</v>
      </c>
      <c r="C29" s="109">
        <v>1038</v>
      </c>
      <c r="D29" s="109">
        <v>1038</v>
      </c>
      <c r="E29" s="4">
        <v>102074864881</v>
      </c>
      <c r="F29" s="4">
        <v>0</v>
      </c>
      <c r="G29" s="138" t="s">
        <v>115</v>
      </c>
      <c r="H29" s="22" t="s">
        <v>265</v>
      </c>
      <c r="I29" s="110" t="s">
        <v>98</v>
      </c>
      <c r="J29" s="33">
        <v>44930</v>
      </c>
      <c r="K29" s="2"/>
      <c r="L29" s="15">
        <v>46052</v>
      </c>
      <c r="M29" s="17" t="str">
        <f t="shared" si="2"/>
        <v>3 years,0 months</v>
      </c>
      <c r="N29" s="1">
        <f>VLOOKUP(C29,'[1]stff-sal'!$B$2:$R$41,17,0)</f>
        <v>27</v>
      </c>
      <c r="O29" s="1">
        <v>0</v>
      </c>
      <c r="P29" s="1">
        <v>0</v>
      </c>
      <c r="Q29" s="1">
        <f>VLOOKUP(C29,'[1]stff-sal'!$B$2:$S$41,18,0)</f>
        <v>0</v>
      </c>
      <c r="R29" s="1">
        <v>0</v>
      </c>
      <c r="S29" s="1">
        <v>0</v>
      </c>
      <c r="T29" s="1">
        <f t="shared" si="3"/>
        <v>27</v>
      </c>
      <c r="U29" s="2">
        <f t="shared" si="4"/>
        <v>12500</v>
      </c>
      <c r="V29" s="2">
        <f t="shared" si="5"/>
        <v>5000</v>
      </c>
      <c r="W29" s="2">
        <f t="shared" si="6"/>
        <v>2500</v>
      </c>
      <c r="X29" s="2">
        <f t="shared" si="7"/>
        <v>2500</v>
      </c>
      <c r="Y29" s="2">
        <f t="shared" si="8"/>
        <v>2500</v>
      </c>
      <c r="Z29" s="2">
        <v>25000</v>
      </c>
      <c r="AA29" s="4">
        <f t="shared" si="9"/>
        <v>12500</v>
      </c>
      <c r="AB29" s="4">
        <f t="shared" si="10"/>
        <v>5000</v>
      </c>
      <c r="AC29" s="4">
        <f t="shared" si="11"/>
        <v>2500</v>
      </c>
      <c r="AD29" s="4">
        <f t="shared" si="12"/>
        <v>2500</v>
      </c>
      <c r="AE29" s="4">
        <f t="shared" si="13"/>
        <v>2500</v>
      </c>
      <c r="AF29" s="283">
        <f t="shared" si="14"/>
        <v>25000</v>
      </c>
      <c r="AG29" s="4">
        <f t="shared" si="15"/>
        <v>15000</v>
      </c>
      <c r="AH29" s="4">
        <f t="shared" si="16"/>
        <v>0</v>
      </c>
      <c r="AI29" s="4">
        <f t="shared" si="17"/>
        <v>1800</v>
      </c>
      <c r="AJ29" s="181">
        <v>1800</v>
      </c>
      <c r="AK29" s="4">
        <f t="shared" si="18"/>
        <v>0</v>
      </c>
      <c r="AL29" s="181">
        <v>0</v>
      </c>
      <c r="AM29" s="4">
        <v>0</v>
      </c>
      <c r="AN29" s="2">
        <v>0</v>
      </c>
      <c r="AO29" s="2">
        <v>0</v>
      </c>
      <c r="AP29" s="2">
        <v>0</v>
      </c>
      <c r="AQ29" s="4">
        <f t="shared" si="19"/>
        <v>3600</v>
      </c>
      <c r="AR29" s="4">
        <f t="shared" si="20"/>
        <v>21400</v>
      </c>
      <c r="AS29" s="2"/>
      <c r="AT29" s="16">
        <v>0</v>
      </c>
      <c r="AU29" s="2">
        <v>0</v>
      </c>
      <c r="AV29" s="2">
        <f t="shared" si="21"/>
        <v>0</v>
      </c>
      <c r="AW29" s="2">
        <f t="shared" si="22"/>
        <v>0</v>
      </c>
    </row>
    <row r="30" spans="2:49" ht="45" customHeight="1" x14ac:dyDescent="0.25">
      <c r="B30" s="21">
        <v>25</v>
      </c>
      <c r="C30" s="109">
        <v>1040</v>
      </c>
      <c r="D30" s="109">
        <v>1040</v>
      </c>
      <c r="E30" s="4">
        <v>101086054823</v>
      </c>
      <c r="F30" s="4">
        <v>5606723684</v>
      </c>
      <c r="G30" s="138" t="s">
        <v>116</v>
      </c>
      <c r="H30" s="22" t="s">
        <v>262</v>
      </c>
      <c r="I30" s="110" t="s">
        <v>109</v>
      </c>
      <c r="J30" s="33"/>
      <c r="K30" s="2"/>
      <c r="L30" s="15">
        <v>46052</v>
      </c>
      <c r="M30" s="17" t="str">
        <f t="shared" si="2"/>
        <v>126 years,0 months</v>
      </c>
      <c r="N30" s="1">
        <f>VLOOKUP(C30,'[1]stff-sal'!$B$2:$R$41,17,0)</f>
        <v>26</v>
      </c>
      <c r="O30" s="1">
        <v>0</v>
      </c>
      <c r="P30" s="1">
        <v>0</v>
      </c>
      <c r="Q30" s="1">
        <f>VLOOKUP(C30,'[1]stff-sal'!$B$2:$S$41,18,0)</f>
        <v>1</v>
      </c>
      <c r="R30" s="1">
        <v>0</v>
      </c>
      <c r="S30" s="1">
        <v>0</v>
      </c>
      <c r="T30" s="1">
        <f t="shared" si="3"/>
        <v>27</v>
      </c>
      <c r="U30" s="2">
        <f t="shared" si="4"/>
        <v>10000</v>
      </c>
      <c r="V30" s="2">
        <f t="shared" si="5"/>
        <v>4000</v>
      </c>
      <c r="W30" s="2">
        <f t="shared" si="6"/>
        <v>2000</v>
      </c>
      <c r="X30" s="2">
        <f t="shared" si="7"/>
        <v>2000</v>
      </c>
      <c r="Y30" s="2">
        <f t="shared" si="8"/>
        <v>2000</v>
      </c>
      <c r="Z30" s="2">
        <v>20000</v>
      </c>
      <c r="AA30" s="4">
        <f t="shared" si="9"/>
        <v>10000</v>
      </c>
      <c r="AB30" s="4">
        <f t="shared" si="10"/>
        <v>4000</v>
      </c>
      <c r="AC30" s="4">
        <f t="shared" si="11"/>
        <v>2000</v>
      </c>
      <c r="AD30" s="4">
        <f t="shared" si="12"/>
        <v>2000</v>
      </c>
      <c r="AE30" s="4">
        <f t="shared" si="13"/>
        <v>2000</v>
      </c>
      <c r="AF30" s="283">
        <f t="shared" si="14"/>
        <v>20000</v>
      </c>
      <c r="AG30" s="4">
        <f t="shared" si="15"/>
        <v>15000</v>
      </c>
      <c r="AH30" s="4">
        <f t="shared" si="16"/>
        <v>18000</v>
      </c>
      <c r="AI30" s="4">
        <f t="shared" si="17"/>
        <v>1800</v>
      </c>
      <c r="AJ30" s="181">
        <v>1800</v>
      </c>
      <c r="AK30" s="4">
        <f t="shared" si="18"/>
        <v>135</v>
      </c>
      <c r="AL30" s="181">
        <v>139</v>
      </c>
      <c r="AM30" s="4">
        <v>0</v>
      </c>
      <c r="AN30" s="2">
        <v>0</v>
      </c>
      <c r="AO30" s="2">
        <v>0</v>
      </c>
      <c r="AP30" s="2">
        <v>0</v>
      </c>
      <c r="AQ30" s="4">
        <f t="shared" si="19"/>
        <v>3874</v>
      </c>
      <c r="AR30" s="4">
        <f t="shared" si="20"/>
        <v>16126</v>
      </c>
      <c r="AS30" s="2"/>
      <c r="AT30" s="16">
        <v>0</v>
      </c>
      <c r="AU30" s="2">
        <v>0</v>
      </c>
      <c r="AV30" s="2">
        <f t="shared" si="21"/>
        <v>0</v>
      </c>
      <c r="AW30" s="2">
        <f t="shared" si="22"/>
        <v>0</v>
      </c>
    </row>
    <row r="31" spans="2:49" ht="45" customHeight="1" x14ac:dyDescent="0.25">
      <c r="B31" s="21">
        <v>26</v>
      </c>
      <c r="C31" s="109">
        <v>1042</v>
      </c>
      <c r="D31" s="109">
        <v>1042</v>
      </c>
      <c r="E31" s="4">
        <v>102191645074</v>
      </c>
      <c r="F31" s="4">
        <v>5611162092</v>
      </c>
      <c r="G31" s="138" t="s">
        <v>117</v>
      </c>
      <c r="H31" s="22" t="s">
        <v>267</v>
      </c>
      <c r="I31" s="110" t="s">
        <v>118</v>
      </c>
      <c r="J31" s="33">
        <v>44984</v>
      </c>
      <c r="K31" s="2"/>
      <c r="L31" s="15">
        <v>46052</v>
      </c>
      <c r="M31" s="17" t="str">
        <f t="shared" si="2"/>
        <v>2 years,11 months</v>
      </c>
      <c r="N31" s="1">
        <f>VLOOKUP(C31,'[1]stff-sal'!$B$2:$R$41,17,0)</f>
        <v>25</v>
      </c>
      <c r="O31" s="1">
        <v>0</v>
      </c>
      <c r="P31" s="1">
        <v>0</v>
      </c>
      <c r="Q31" s="1">
        <f>VLOOKUP(C31,'[1]stff-sal'!$B$2:$S$41,18,0)</f>
        <v>2</v>
      </c>
      <c r="R31" s="1">
        <v>0</v>
      </c>
      <c r="S31" s="1">
        <v>0</v>
      </c>
      <c r="T31" s="1">
        <f t="shared" si="3"/>
        <v>27</v>
      </c>
      <c r="U31" s="2">
        <f t="shared" si="4"/>
        <v>8000</v>
      </c>
      <c r="V31" s="2">
        <f t="shared" si="5"/>
        <v>3200</v>
      </c>
      <c r="W31" s="2">
        <f t="shared" si="6"/>
        <v>1600</v>
      </c>
      <c r="X31" s="2">
        <f t="shared" si="7"/>
        <v>1600</v>
      </c>
      <c r="Y31" s="2">
        <f t="shared" si="8"/>
        <v>1600</v>
      </c>
      <c r="Z31" s="2">
        <v>16000</v>
      </c>
      <c r="AA31" s="4">
        <f t="shared" si="9"/>
        <v>8000</v>
      </c>
      <c r="AB31" s="4">
        <f t="shared" si="10"/>
        <v>3200</v>
      </c>
      <c r="AC31" s="4">
        <f t="shared" si="11"/>
        <v>1600</v>
      </c>
      <c r="AD31" s="4">
        <f t="shared" si="12"/>
        <v>1600</v>
      </c>
      <c r="AE31" s="4">
        <f t="shared" si="13"/>
        <v>1600</v>
      </c>
      <c r="AF31" s="283">
        <f t="shared" si="14"/>
        <v>16000</v>
      </c>
      <c r="AG31" s="4">
        <f t="shared" si="15"/>
        <v>12800</v>
      </c>
      <c r="AH31" s="4">
        <f t="shared" si="16"/>
        <v>14400</v>
      </c>
      <c r="AI31" s="4">
        <f t="shared" si="17"/>
        <v>1536</v>
      </c>
      <c r="AJ31" s="181">
        <v>1564</v>
      </c>
      <c r="AK31" s="4">
        <f t="shared" si="18"/>
        <v>108</v>
      </c>
      <c r="AL31" s="181">
        <v>110</v>
      </c>
      <c r="AM31" s="4">
        <v>0</v>
      </c>
      <c r="AN31" s="2">
        <v>0</v>
      </c>
      <c r="AO31" s="2">
        <v>0</v>
      </c>
      <c r="AP31" s="2">
        <v>1000</v>
      </c>
      <c r="AQ31" s="4">
        <f t="shared" si="19"/>
        <v>4318</v>
      </c>
      <c r="AR31" s="4">
        <f t="shared" si="20"/>
        <v>11682</v>
      </c>
      <c r="AS31" s="2"/>
      <c r="AT31" s="16">
        <v>0</v>
      </c>
      <c r="AU31" s="2">
        <v>0</v>
      </c>
      <c r="AV31" s="2">
        <f t="shared" si="21"/>
        <v>0</v>
      </c>
      <c r="AW31" s="2">
        <v>0</v>
      </c>
    </row>
    <row r="32" spans="2:49" ht="45" customHeight="1" x14ac:dyDescent="0.25">
      <c r="B32" s="21">
        <v>27</v>
      </c>
      <c r="C32" s="109">
        <v>1047</v>
      </c>
      <c r="D32" s="109">
        <v>1047</v>
      </c>
      <c r="E32" s="4">
        <v>101856445200</v>
      </c>
      <c r="F32" s="4">
        <v>5610589080</v>
      </c>
      <c r="G32" s="138" t="s">
        <v>119</v>
      </c>
      <c r="H32" s="22" t="s">
        <v>265</v>
      </c>
      <c r="I32" s="110" t="s">
        <v>98</v>
      </c>
      <c r="J32" s="33">
        <v>45084</v>
      </c>
      <c r="K32" s="2"/>
      <c r="L32" s="15">
        <v>46052</v>
      </c>
      <c r="M32" s="17" t="str">
        <f t="shared" si="2"/>
        <v>2 years,7 months</v>
      </c>
      <c r="N32" s="1">
        <f>VLOOKUP(C32,'[1]stff-sal'!$B$2:$R$41,17,0)</f>
        <v>25</v>
      </c>
      <c r="O32" s="1">
        <v>0</v>
      </c>
      <c r="P32" s="1">
        <v>0</v>
      </c>
      <c r="Q32" s="1">
        <f>VLOOKUP(C32,'[1]stff-sal'!$B$2:$S$41,18,0)</f>
        <v>2</v>
      </c>
      <c r="R32" s="1">
        <v>0</v>
      </c>
      <c r="S32" s="1">
        <v>0</v>
      </c>
      <c r="T32" s="1">
        <f t="shared" si="3"/>
        <v>27</v>
      </c>
      <c r="U32" s="2">
        <f t="shared" si="4"/>
        <v>11250</v>
      </c>
      <c r="V32" s="2">
        <f t="shared" si="5"/>
        <v>4500</v>
      </c>
      <c r="W32" s="2">
        <f t="shared" si="6"/>
        <v>2250</v>
      </c>
      <c r="X32" s="2">
        <f t="shared" si="7"/>
        <v>2250</v>
      </c>
      <c r="Y32" s="2">
        <f t="shared" si="8"/>
        <v>2250</v>
      </c>
      <c r="Z32" s="2">
        <v>22500</v>
      </c>
      <c r="AA32" s="4">
        <f t="shared" si="9"/>
        <v>11250</v>
      </c>
      <c r="AB32" s="4">
        <f t="shared" si="10"/>
        <v>4500</v>
      </c>
      <c r="AC32" s="4">
        <f t="shared" si="11"/>
        <v>2250</v>
      </c>
      <c r="AD32" s="4">
        <f t="shared" si="12"/>
        <v>2250</v>
      </c>
      <c r="AE32" s="4">
        <f t="shared" si="13"/>
        <v>2250</v>
      </c>
      <c r="AF32" s="283">
        <f t="shared" si="14"/>
        <v>22500</v>
      </c>
      <c r="AG32" s="4">
        <f t="shared" si="15"/>
        <v>15000</v>
      </c>
      <c r="AH32" s="4">
        <f t="shared" si="16"/>
        <v>0</v>
      </c>
      <c r="AI32" s="4">
        <f t="shared" si="17"/>
        <v>1800</v>
      </c>
      <c r="AJ32" s="181">
        <v>1800</v>
      </c>
      <c r="AK32" s="4">
        <f t="shared" si="18"/>
        <v>0</v>
      </c>
      <c r="AL32" s="181">
        <v>0</v>
      </c>
      <c r="AM32" s="4">
        <v>0</v>
      </c>
      <c r="AN32" s="2">
        <v>0</v>
      </c>
      <c r="AO32" s="2">
        <v>0</v>
      </c>
      <c r="AP32" s="2">
        <v>0</v>
      </c>
      <c r="AQ32" s="4">
        <f t="shared" si="19"/>
        <v>3600</v>
      </c>
      <c r="AR32" s="4">
        <f t="shared" si="20"/>
        <v>18900</v>
      </c>
      <c r="AS32" s="2"/>
      <c r="AT32" s="16">
        <v>0</v>
      </c>
      <c r="AU32" s="2">
        <v>0</v>
      </c>
      <c r="AV32" s="2">
        <f t="shared" si="21"/>
        <v>0</v>
      </c>
      <c r="AW32" s="2">
        <f t="shared" si="22"/>
        <v>0</v>
      </c>
    </row>
    <row r="33" spans="2:51" ht="45" customHeight="1" x14ac:dyDescent="0.25">
      <c r="B33" s="21">
        <v>28</v>
      </c>
      <c r="C33" s="109">
        <v>1050</v>
      </c>
      <c r="D33" s="109">
        <v>1050</v>
      </c>
      <c r="E33" s="4">
        <v>102074864899</v>
      </c>
      <c r="F33" s="4">
        <v>5610589061</v>
      </c>
      <c r="G33" s="138" t="s">
        <v>120</v>
      </c>
      <c r="H33" s="22" t="s">
        <v>265</v>
      </c>
      <c r="I33" s="110" t="s">
        <v>98</v>
      </c>
      <c r="J33" s="33">
        <v>45091</v>
      </c>
      <c r="K33" s="2"/>
      <c r="L33" s="15">
        <v>46052</v>
      </c>
      <c r="M33" s="17" t="str">
        <f t="shared" si="2"/>
        <v>2 years,7 months</v>
      </c>
      <c r="N33" s="1">
        <f>VLOOKUP(C33,'[1]stff-sal'!$B$2:$R$41,17,0)</f>
        <v>26</v>
      </c>
      <c r="O33" s="1">
        <v>0</v>
      </c>
      <c r="P33" s="1">
        <v>0</v>
      </c>
      <c r="Q33" s="1">
        <f>VLOOKUP(C33,'[1]stff-sal'!$B$2:$S$41,18,0)</f>
        <v>1</v>
      </c>
      <c r="R33" s="1">
        <v>0</v>
      </c>
      <c r="S33" s="1">
        <v>0</v>
      </c>
      <c r="T33" s="1">
        <f t="shared" si="3"/>
        <v>27</v>
      </c>
      <c r="U33" s="2">
        <f t="shared" si="4"/>
        <v>11250</v>
      </c>
      <c r="V33" s="2">
        <f t="shared" si="5"/>
        <v>4500</v>
      </c>
      <c r="W33" s="2">
        <f t="shared" si="6"/>
        <v>2250</v>
      </c>
      <c r="X33" s="2">
        <f t="shared" si="7"/>
        <v>2250</v>
      </c>
      <c r="Y33" s="2">
        <f t="shared" si="8"/>
        <v>2250</v>
      </c>
      <c r="Z33" s="2">
        <v>22500</v>
      </c>
      <c r="AA33" s="4">
        <f t="shared" si="9"/>
        <v>11250</v>
      </c>
      <c r="AB33" s="4">
        <f t="shared" si="10"/>
        <v>4500</v>
      </c>
      <c r="AC33" s="4">
        <f t="shared" si="11"/>
        <v>2250</v>
      </c>
      <c r="AD33" s="4">
        <f t="shared" si="12"/>
        <v>2250</v>
      </c>
      <c r="AE33" s="4">
        <f t="shared" si="13"/>
        <v>2250</v>
      </c>
      <c r="AF33" s="283">
        <f t="shared" si="14"/>
        <v>22500</v>
      </c>
      <c r="AG33" s="4">
        <f t="shared" si="15"/>
        <v>15000</v>
      </c>
      <c r="AH33" s="4">
        <f t="shared" si="16"/>
        <v>0</v>
      </c>
      <c r="AI33" s="4">
        <f t="shared" si="17"/>
        <v>1800</v>
      </c>
      <c r="AJ33" s="181">
        <v>1800</v>
      </c>
      <c r="AK33" s="4">
        <f t="shared" si="18"/>
        <v>0</v>
      </c>
      <c r="AL33" s="181">
        <v>0</v>
      </c>
      <c r="AM33" s="4">
        <v>0</v>
      </c>
      <c r="AN33" s="2">
        <v>0</v>
      </c>
      <c r="AO33" s="2">
        <v>0</v>
      </c>
      <c r="AP33" s="2">
        <v>0</v>
      </c>
      <c r="AQ33" s="4">
        <f t="shared" si="19"/>
        <v>3600</v>
      </c>
      <c r="AR33" s="4">
        <f t="shared" si="20"/>
        <v>18900</v>
      </c>
      <c r="AS33" s="2"/>
      <c r="AT33" s="16">
        <v>0</v>
      </c>
      <c r="AU33" s="2">
        <v>0</v>
      </c>
      <c r="AV33" s="2">
        <f t="shared" si="21"/>
        <v>0</v>
      </c>
      <c r="AW33" s="2">
        <f t="shared" si="22"/>
        <v>0</v>
      </c>
    </row>
    <row r="34" spans="2:51" ht="45" customHeight="1" x14ac:dyDescent="0.25">
      <c r="B34" s="21">
        <v>29</v>
      </c>
      <c r="C34" s="109">
        <v>1055</v>
      </c>
      <c r="D34" s="109">
        <v>1055</v>
      </c>
      <c r="E34" s="4">
        <v>101187107577</v>
      </c>
      <c r="F34" s="4">
        <v>0</v>
      </c>
      <c r="G34" s="138" t="s">
        <v>121</v>
      </c>
      <c r="H34" s="22" t="s">
        <v>264</v>
      </c>
      <c r="I34" s="110" t="s">
        <v>109</v>
      </c>
      <c r="J34" s="33">
        <v>45300</v>
      </c>
      <c r="K34" s="17"/>
      <c r="L34" s="15">
        <v>46052</v>
      </c>
      <c r="M34" s="17" t="str">
        <f t="shared" si="2"/>
        <v>2 years,0 months</v>
      </c>
      <c r="N34" s="1">
        <f>VLOOKUP(C34,'[1]stff-sal'!$B$2:$R$41,17,0)</f>
        <v>25</v>
      </c>
      <c r="O34" s="1">
        <v>0</v>
      </c>
      <c r="P34" s="1">
        <v>0</v>
      </c>
      <c r="Q34" s="1">
        <f>VLOOKUP(C34,'[1]stff-sal'!$B$2:$S$41,18,0)</f>
        <v>2</v>
      </c>
      <c r="R34" s="1">
        <v>0</v>
      </c>
      <c r="S34" s="1">
        <v>0</v>
      </c>
      <c r="T34" s="1">
        <f t="shared" si="3"/>
        <v>27</v>
      </c>
      <c r="U34" s="2">
        <f t="shared" si="4"/>
        <v>21000</v>
      </c>
      <c r="V34" s="2">
        <f t="shared" si="5"/>
        <v>8400</v>
      </c>
      <c r="W34" s="2">
        <f t="shared" si="6"/>
        <v>4200</v>
      </c>
      <c r="X34" s="2">
        <f t="shared" si="7"/>
        <v>4200</v>
      </c>
      <c r="Y34" s="2">
        <f t="shared" si="8"/>
        <v>4200</v>
      </c>
      <c r="Z34" s="2">
        <v>42000</v>
      </c>
      <c r="AA34" s="4">
        <f t="shared" si="9"/>
        <v>21000</v>
      </c>
      <c r="AB34" s="4">
        <f t="shared" si="10"/>
        <v>8400</v>
      </c>
      <c r="AC34" s="4">
        <f t="shared" si="11"/>
        <v>4200</v>
      </c>
      <c r="AD34" s="4">
        <f t="shared" si="12"/>
        <v>4200</v>
      </c>
      <c r="AE34" s="4">
        <f t="shared" si="13"/>
        <v>4200</v>
      </c>
      <c r="AF34" s="283">
        <f t="shared" si="14"/>
        <v>42000</v>
      </c>
      <c r="AG34" s="4">
        <f t="shared" si="15"/>
        <v>15000</v>
      </c>
      <c r="AH34" s="4">
        <f t="shared" si="16"/>
        <v>0</v>
      </c>
      <c r="AI34" s="4">
        <f t="shared" si="17"/>
        <v>1800</v>
      </c>
      <c r="AJ34" s="181">
        <v>1800</v>
      </c>
      <c r="AK34" s="4">
        <f t="shared" si="18"/>
        <v>0</v>
      </c>
      <c r="AL34" s="181">
        <v>0</v>
      </c>
      <c r="AM34" s="4">
        <v>0</v>
      </c>
      <c r="AN34" s="2">
        <v>0</v>
      </c>
      <c r="AO34" s="2">
        <v>0</v>
      </c>
      <c r="AP34" s="2">
        <v>1000</v>
      </c>
      <c r="AQ34" s="4">
        <f t="shared" si="19"/>
        <v>4600</v>
      </c>
      <c r="AR34" s="4">
        <f t="shared" si="20"/>
        <v>37400</v>
      </c>
      <c r="AS34" s="2"/>
      <c r="AT34" s="16">
        <v>0</v>
      </c>
      <c r="AU34" s="2">
        <v>31000</v>
      </c>
      <c r="AV34" s="2">
        <f t="shared" si="21"/>
        <v>31000</v>
      </c>
      <c r="AW34" s="2">
        <f t="shared" si="22"/>
        <v>30000</v>
      </c>
    </row>
    <row r="35" spans="2:51" ht="45" customHeight="1" x14ac:dyDescent="0.25">
      <c r="B35" s="21">
        <v>30</v>
      </c>
      <c r="C35" s="109">
        <v>1058</v>
      </c>
      <c r="D35" s="109">
        <v>1058</v>
      </c>
      <c r="E35" s="4">
        <v>100287560683</v>
      </c>
      <c r="F35" s="4">
        <v>0</v>
      </c>
      <c r="G35" s="138" t="s">
        <v>122</v>
      </c>
      <c r="H35" s="22" t="s">
        <v>268</v>
      </c>
      <c r="I35" s="110" t="s">
        <v>123</v>
      </c>
      <c r="J35" s="33">
        <v>45434</v>
      </c>
      <c r="K35" s="2"/>
      <c r="L35" s="15">
        <v>46052</v>
      </c>
      <c r="M35" s="17" t="str">
        <f t="shared" si="2"/>
        <v>1 years,8 months</v>
      </c>
      <c r="N35" s="1">
        <f>VLOOKUP(C35,'[1]stff-sal'!$B$2:$R$41,17,0)</f>
        <v>27</v>
      </c>
      <c r="O35" s="1">
        <v>0</v>
      </c>
      <c r="P35" s="1">
        <v>0</v>
      </c>
      <c r="Q35" s="1">
        <f>VLOOKUP(C35,'[1]stff-sal'!$B$2:$S$41,18,0)</f>
        <v>0</v>
      </c>
      <c r="R35" s="1">
        <v>0</v>
      </c>
      <c r="S35" s="1">
        <v>0</v>
      </c>
      <c r="T35" s="1">
        <f t="shared" si="3"/>
        <v>27</v>
      </c>
      <c r="U35" s="2">
        <f t="shared" si="4"/>
        <v>18000</v>
      </c>
      <c r="V35" s="2">
        <f t="shared" si="5"/>
        <v>7200</v>
      </c>
      <c r="W35" s="2">
        <f t="shared" si="6"/>
        <v>3600</v>
      </c>
      <c r="X35" s="2">
        <f t="shared" si="7"/>
        <v>3600</v>
      </c>
      <c r="Y35" s="2">
        <f t="shared" si="8"/>
        <v>3600</v>
      </c>
      <c r="Z35" s="2">
        <v>36000</v>
      </c>
      <c r="AA35" s="4">
        <f t="shared" si="9"/>
        <v>18000</v>
      </c>
      <c r="AB35" s="4">
        <f t="shared" si="10"/>
        <v>7200.0000000000009</v>
      </c>
      <c r="AC35" s="4">
        <f t="shared" si="11"/>
        <v>3600.0000000000005</v>
      </c>
      <c r="AD35" s="4">
        <f t="shared" si="12"/>
        <v>3600.0000000000005</v>
      </c>
      <c r="AE35" s="4">
        <f t="shared" si="13"/>
        <v>3600.0000000000005</v>
      </c>
      <c r="AF35" s="283">
        <f t="shared" si="14"/>
        <v>36000</v>
      </c>
      <c r="AG35" s="4">
        <f t="shared" si="15"/>
        <v>15000</v>
      </c>
      <c r="AH35" s="4">
        <f t="shared" si="16"/>
        <v>0</v>
      </c>
      <c r="AI35" s="4">
        <f t="shared" si="17"/>
        <v>1800</v>
      </c>
      <c r="AJ35" s="181">
        <v>1800</v>
      </c>
      <c r="AK35" s="4">
        <f t="shared" si="18"/>
        <v>0</v>
      </c>
      <c r="AL35" s="181">
        <v>0</v>
      </c>
      <c r="AM35" s="4">
        <v>0</v>
      </c>
      <c r="AN35" s="2">
        <v>0</v>
      </c>
      <c r="AO35" s="2">
        <v>0</v>
      </c>
      <c r="AP35" s="2">
        <v>1000</v>
      </c>
      <c r="AQ35" s="4">
        <f t="shared" si="19"/>
        <v>4600</v>
      </c>
      <c r="AR35" s="4">
        <f t="shared" si="20"/>
        <v>31400</v>
      </c>
      <c r="AS35" s="2"/>
      <c r="AT35" s="16">
        <v>0</v>
      </c>
      <c r="AU35" s="2">
        <v>14000</v>
      </c>
      <c r="AV35" s="2">
        <f t="shared" si="21"/>
        <v>14000</v>
      </c>
      <c r="AW35" s="2">
        <f t="shared" si="22"/>
        <v>13000</v>
      </c>
    </row>
    <row r="36" spans="2:51" ht="45" customHeight="1" x14ac:dyDescent="0.25">
      <c r="B36" s="21">
        <v>31</v>
      </c>
      <c r="C36" s="109">
        <v>1059</v>
      </c>
      <c r="D36" s="109">
        <v>1059</v>
      </c>
      <c r="E36" s="4">
        <v>102226713577</v>
      </c>
      <c r="F36" s="4">
        <v>5611331708</v>
      </c>
      <c r="G36" s="138" t="s">
        <v>124</v>
      </c>
      <c r="H36" s="22" t="s">
        <v>263</v>
      </c>
      <c r="I36" s="110" t="s">
        <v>109</v>
      </c>
      <c r="J36" s="33">
        <v>45352</v>
      </c>
      <c r="K36" s="2"/>
      <c r="L36" s="15">
        <v>46052</v>
      </c>
      <c r="M36" s="17" t="str">
        <f t="shared" si="2"/>
        <v>1 years,10 months</v>
      </c>
      <c r="N36" s="1">
        <f>VLOOKUP(C36,'[1]stff-sal'!$B$2:$R$41,17,0)</f>
        <v>6</v>
      </c>
      <c r="O36" s="1">
        <v>0</v>
      </c>
      <c r="P36" s="1">
        <v>0</v>
      </c>
      <c r="Q36" s="1">
        <f>VLOOKUP(C36,'[1]stff-sal'!$B$2:$S$41,18,0)</f>
        <v>0</v>
      </c>
      <c r="R36" s="1">
        <v>0</v>
      </c>
      <c r="S36" s="1">
        <v>0</v>
      </c>
      <c r="T36" s="1">
        <f t="shared" si="3"/>
        <v>6</v>
      </c>
      <c r="U36" s="2">
        <f t="shared" si="4"/>
        <v>10000</v>
      </c>
      <c r="V36" s="2">
        <f t="shared" si="5"/>
        <v>4000</v>
      </c>
      <c r="W36" s="2">
        <f t="shared" si="6"/>
        <v>2000</v>
      </c>
      <c r="X36" s="2">
        <f t="shared" si="7"/>
        <v>2000</v>
      </c>
      <c r="Y36" s="2">
        <f t="shared" si="8"/>
        <v>2000</v>
      </c>
      <c r="Z36" s="2">
        <v>20000</v>
      </c>
      <c r="AA36" s="4">
        <f t="shared" si="9"/>
        <v>2222.2222222222222</v>
      </c>
      <c r="AB36" s="4">
        <f t="shared" si="10"/>
        <v>888.88888888888891</v>
      </c>
      <c r="AC36" s="4">
        <f t="shared" si="11"/>
        <v>444.44444444444446</v>
      </c>
      <c r="AD36" s="4">
        <f t="shared" si="12"/>
        <v>444.44444444444446</v>
      </c>
      <c r="AE36" s="4">
        <f t="shared" si="13"/>
        <v>444.44444444444446</v>
      </c>
      <c r="AF36" s="283">
        <f t="shared" si="14"/>
        <v>4444.4444444444443</v>
      </c>
      <c r="AG36" s="4">
        <f t="shared" si="15"/>
        <v>3555.5555555555557</v>
      </c>
      <c r="AH36" s="4">
        <f t="shared" si="16"/>
        <v>4000</v>
      </c>
      <c r="AI36" s="4">
        <f t="shared" si="17"/>
        <v>426.66666666666669</v>
      </c>
      <c r="AJ36" s="181">
        <v>427</v>
      </c>
      <c r="AK36" s="4">
        <f t="shared" si="18"/>
        <v>30</v>
      </c>
      <c r="AL36" s="181">
        <v>31</v>
      </c>
      <c r="AM36" s="4">
        <v>0</v>
      </c>
      <c r="AN36" s="2">
        <v>0</v>
      </c>
      <c r="AO36" s="2">
        <v>0</v>
      </c>
      <c r="AP36" s="2">
        <v>500</v>
      </c>
      <c r="AQ36" s="4">
        <f t="shared" si="19"/>
        <v>1414.6666666666667</v>
      </c>
      <c r="AR36" s="4">
        <f t="shared" si="20"/>
        <v>3029.7777777777774</v>
      </c>
      <c r="AS36" s="2"/>
      <c r="AT36" s="16">
        <v>5000</v>
      </c>
      <c r="AU36" s="2">
        <v>4500</v>
      </c>
      <c r="AV36" s="2">
        <f t="shared" si="21"/>
        <v>9500</v>
      </c>
      <c r="AW36" s="2">
        <f t="shared" si="22"/>
        <v>9000</v>
      </c>
    </row>
    <row r="37" spans="2:51" ht="45" customHeight="1" x14ac:dyDescent="0.25">
      <c r="B37" s="21">
        <v>33</v>
      </c>
      <c r="C37" s="109">
        <v>1072</v>
      </c>
      <c r="D37" s="109">
        <v>1072</v>
      </c>
      <c r="E37" s="4">
        <v>100338669305</v>
      </c>
      <c r="F37" s="4">
        <v>0</v>
      </c>
      <c r="G37" s="138" t="s">
        <v>125</v>
      </c>
      <c r="H37" s="22" t="s">
        <v>269</v>
      </c>
      <c r="I37" s="110" t="s">
        <v>126</v>
      </c>
      <c r="J37" s="33">
        <v>45917</v>
      </c>
      <c r="K37" s="2"/>
      <c r="L37" s="15">
        <v>46052</v>
      </c>
      <c r="M37" s="17" t="str">
        <f t="shared" si="2"/>
        <v>0 years,4 months</v>
      </c>
      <c r="N37" s="1">
        <f>VLOOKUP(C37,'[1]stff-sal'!$B$2:$R$41,17,0)</f>
        <v>25</v>
      </c>
      <c r="O37" s="1">
        <v>0</v>
      </c>
      <c r="P37" s="1">
        <v>0</v>
      </c>
      <c r="Q37" s="1">
        <f>VLOOKUP(C37,'[1]stff-sal'!$B$2:$S$41,18,0)</f>
        <v>2</v>
      </c>
      <c r="R37" s="1">
        <v>0</v>
      </c>
      <c r="S37" s="1">
        <v>0</v>
      </c>
      <c r="T37" s="1">
        <f t="shared" si="3"/>
        <v>27</v>
      </c>
      <c r="U37" s="2">
        <f t="shared" si="4"/>
        <v>109000</v>
      </c>
      <c r="V37" s="2">
        <f t="shared" si="5"/>
        <v>43600</v>
      </c>
      <c r="W37" s="2">
        <f t="shared" si="6"/>
        <v>21800</v>
      </c>
      <c r="X37" s="2">
        <f t="shared" si="7"/>
        <v>21800</v>
      </c>
      <c r="Y37" s="2">
        <f t="shared" si="8"/>
        <v>21800</v>
      </c>
      <c r="Z37" s="2">
        <v>218000</v>
      </c>
      <c r="AA37" s="4">
        <f t="shared" si="9"/>
        <v>109000</v>
      </c>
      <c r="AB37" s="4">
        <f t="shared" si="10"/>
        <v>43600</v>
      </c>
      <c r="AC37" s="4">
        <f t="shared" si="11"/>
        <v>21800</v>
      </c>
      <c r="AD37" s="4">
        <f t="shared" si="12"/>
        <v>21800</v>
      </c>
      <c r="AE37" s="4">
        <f t="shared" si="13"/>
        <v>21800</v>
      </c>
      <c r="AF37" s="283">
        <f t="shared" si="14"/>
        <v>218000</v>
      </c>
      <c r="AG37" s="4">
        <f t="shared" si="15"/>
        <v>15000</v>
      </c>
      <c r="AH37" s="4">
        <f t="shared" si="16"/>
        <v>0</v>
      </c>
      <c r="AI37" s="4">
        <f t="shared" si="17"/>
        <v>1800</v>
      </c>
      <c r="AJ37" s="181">
        <v>1800</v>
      </c>
      <c r="AK37" s="4">
        <f t="shared" si="18"/>
        <v>0</v>
      </c>
      <c r="AL37" s="181">
        <v>0</v>
      </c>
      <c r="AM37" s="4">
        <v>0</v>
      </c>
      <c r="AN37" s="2">
        <v>0</v>
      </c>
      <c r="AO37" s="2">
        <v>20496</v>
      </c>
      <c r="AP37" s="2">
        <v>0</v>
      </c>
      <c r="AQ37" s="4">
        <f t="shared" si="19"/>
        <v>24096</v>
      </c>
      <c r="AR37" s="4">
        <f t="shared" si="20"/>
        <v>193904</v>
      </c>
      <c r="AS37" s="2"/>
      <c r="AT37" s="16">
        <v>0</v>
      </c>
      <c r="AU37" s="2">
        <v>0</v>
      </c>
      <c r="AV37" s="2">
        <f t="shared" si="21"/>
        <v>0</v>
      </c>
      <c r="AW37" s="2">
        <f t="shared" si="22"/>
        <v>0</v>
      </c>
    </row>
    <row r="38" spans="2:51" ht="45" customHeight="1" x14ac:dyDescent="0.25">
      <c r="B38" s="21">
        <v>34</v>
      </c>
      <c r="C38" s="109">
        <v>10003</v>
      </c>
      <c r="D38" s="109">
        <v>10003</v>
      </c>
      <c r="E38" s="4">
        <v>100310862473</v>
      </c>
      <c r="F38" s="4">
        <v>0</v>
      </c>
      <c r="G38" s="138" t="s">
        <v>127</v>
      </c>
      <c r="H38" s="22" t="s">
        <v>270</v>
      </c>
      <c r="I38" s="110" t="s">
        <v>84</v>
      </c>
      <c r="J38" s="33">
        <v>36593</v>
      </c>
      <c r="K38" s="2"/>
      <c r="L38" s="15">
        <v>46052</v>
      </c>
      <c r="M38" s="17" t="str">
        <f t="shared" si="2"/>
        <v>25 years,10 months</v>
      </c>
      <c r="N38" s="1">
        <f>VLOOKUP(C38,'[1]stff-sal'!$B$2:$R$41,17,0)</f>
        <v>27</v>
      </c>
      <c r="O38" s="1">
        <v>0</v>
      </c>
      <c r="P38" s="1">
        <v>0</v>
      </c>
      <c r="Q38" s="1">
        <f>VLOOKUP(C38,'[1]stff-sal'!$B$2:$S$41,18,0)</f>
        <v>0</v>
      </c>
      <c r="R38" s="1">
        <v>0</v>
      </c>
      <c r="S38" s="1">
        <v>0</v>
      </c>
      <c r="T38" s="1">
        <f t="shared" si="3"/>
        <v>27</v>
      </c>
      <c r="U38" s="2">
        <f t="shared" si="4"/>
        <v>24000</v>
      </c>
      <c r="V38" s="2">
        <f t="shared" si="5"/>
        <v>9600</v>
      </c>
      <c r="W38" s="2">
        <f t="shared" si="6"/>
        <v>4800</v>
      </c>
      <c r="X38" s="2">
        <f t="shared" si="7"/>
        <v>4800</v>
      </c>
      <c r="Y38" s="2">
        <f t="shared" si="8"/>
        <v>4800</v>
      </c>
      <c r="Z38" s="2">
        <v>48000</v>
      </c>
      <c r="AA38" s="4">
        <f t="shared" si="9"/>
        <v>24000</v>
      </c>
      <c r="AB38" s="4">
        <f t="shared" si="10"/>
        <v>9600</v>
      </c>
      <c r="AC38" s="4">
        <f t="shared" si="11"/>
        <v>4800</v>
      </c>
      <c r="AD38" s="4">
        <f t="shared" si="12"/>
        <v>4800</v>
      </c>
      <c r="AE38" s="4">
        <f t="shared" si="13"/>
        <v>4800</v>
      </c>
      <c r="AF38" s="283">
        <f t="shared" si="14"/>
        <v>48000</v>
      </c>
      <c r="AG38" s="4">
        <f t="shared" si="15"/>
        <v>15000</v>
      </c>
      <c r="AH38" s="4">
        <f t="shared" si="16"/>
        <v>0</v>
      </c>
      <c r="AI38" s="4">
        <f t="shared" si="17"/>
        <v>1800</v>
      </c>
      <c r="AJ38" s="181">
        <v>1800</v>
      </c>
      <c r="AK38" s="4">
        <f t="shared" si="18"/>
        <v>0</v>
      </c>
      <c r="AL38" s="181">
        <v>0</v>
      </c>
      <c r="AM38" s="4">
        <v>0</v>
      </c>
      <c r="AN38" s="2">
        <v>229</v>
      </c>
      <c r="AO38" s="2">
        <v>0</v>
      </c>
      <c r="AP38" s="2">
        <v>0</v>
      </c>
      <c r="AQ38" s="4">
        <f t="shared" si="19"/>
        <v>3829</v>
      </c>
      <c r="AR38" s="4">
        <f t="shared" si="20"/>
        <v>44171</v>
      </c>
      <c r="AS38" s="2"/>
      <c r="AT38" s="16">
        <v>0</v>
      </c>
      <c r="AU38" s="2">
        <v>0</v>
      </c>
      <c r="AV38" s="2">
        <f t="shared" si="21"/>
        <v>0</v>
      </c>
      <c r="AW38" s="2">
        <f t="shared" si="22"/>
        <v>0</v>
      </c>
    </row>
    <row r="39" spans="2:51" ht="45" customHeight="1" x14ac:dyDescent="0.25">
      <c r="B39" s="21">
        <v>35</v>
      </c>
      <c r="C39" s="109">
        <v>10019</v>
      </c>
      <c r="D39" s="109">
        <v>10019</v>
      </c>
      <c r="E39" s="4">
        <v>100223657673</v>
      </c>
      <c r="F39" s="4"/>
      <c r="G39" s="138" t="s">
        <v>128</v>
      </c>
      <c r="H39" s="22" t="s">
        <v>271</v>
      </c>
      <c r="I39" s="110" t="s">
        <v>86</v>
      </c>
      <c r="J39" s="33">
        <v>40000</v>
      </c>
      <c r="K39" s="2"/>
      <c r="L39" s="15">
        <v>46052</v>
      </c>
      <c r="M39" s="17" t="str">
        <f t="shared" si="2"/>
        <v>16 years,6 months</v>
      </c>
      <c r="N39" s="1">
        <f>VLOOKUP(C39,'[1]stff-sal'!$B$2:$R$41,17,0)</f>
        <v>27</v>
      </c>
      <c r="O39" s="1">
        <v>0</v>
      </c>
      <c r="P39" s="1">
        <v>0</v>
      </c>
      <c r="Q39" s="1">
        <f>VLOOKUP(C39,'[1]stff-sal'!$B$2:$S$41,18,0)</f>
        <v>0</v>
      </c>
      <c r="R39" s="1">
        <v>0</v>
      </c>
      <c r="S39" s="1">
        <v>0</v>
      </c>
      <c r="T39" s="1">
        <f t="shared" si="3"/>
        <v>27</v>
      </c>
      <c r="U39" s="2">
        <f t="shared" si="4"/>
        <v>18000</v>
      </c>
      <c r="V39" s="2">
        <f t="shared" si="5"/>
        <v>7200</v>
      </c>
      <c r="W39" s="2">
        <f t="shared" si="6"/>
        <v>3600</v>
      </c>
      <c r="X39" s="2">
        <f t="shared" si="7"/>
        <v>3600</v>
      </c>
      <c r="Y39" s="2">
        <f t="shared" si="8"/>
        <v>3600</v>
      </c>
      <c r="Z39" s="2">
        <v>36000</v>
      </c>
      <c r="AA39" s="4">
        <f t="shared" si="9"/>
        <v>18000</v>
      </c>
      <c r="AB39" s="4">
        <f t="shared" si="10"/>
        <v>7200.0000000000009</v>
      </c>
      <c r="AC39" s="4">
        <f t="shared" si="11"/>
        <v>3600.0000000000005</v>
      </c>
      <c r="AD39" s="4">
        <f t="shared" si="12"/>
        <v>3600.0000000000005</v>
      </c>
      <c r="AE39" s="4">
        <f t="shared" si="13"/>
        <v>3600.0000000000005</v>
      </c>
      <c r="AF39" s="283">
        <f t="shared" si="14"/>
        <v>36000</v>
      </c>
      <c r="AG39" s="4">
        <f t="shared" si="15"/>
        <v>15000</v>
      </c>
      <c r="AH39" s="4">
        <f t="shared" si="16"/>
        <v>0</v>
      </c>
      <c r="AI39" s="4">
        <f t="shared" si="17"/>
        <v>1800</v>
      </c>
      <c r="AJ39" s="181">
        <v>1800</v>
      </c>
      <c r="AK39" s="4">
        <f t="shared" si="18"/>
        <v>0</v>
      </c>
      <c r="AL39" s="181">
        <v>0</v>
      </c>
      <c r="AM39" s="4">
        <v>0</v>
      </c>
      <c r="AN39" s="2">
        <v>215</v>
      </c>
      <c r="AO39" s="2">
        <v>0</v>
      </c>
      <c r="AP39" s="2">
        <v>1500</v>
      </c>
      <c r="AQ39" s="4">
        <f t="shared" si="19"/>
        <v>5315</v>
      </c>
      <c r="AR39" s="4">
        <f t="shared" si="20"/>
        <v>30685</v>
      </c>
      <c r="AS39" s="2"/>
      <c r="AT39" s="16">
        <v>0</v>
      </c>
      <c r="AU39" s="2">
        <v>135000</v>
      </c>
      <c r="AV39" s="2">
        <f t="shared" si="21"/>
        <v>135000</v>
      </c>
      <c r="AW39" s="2">
        <f t="shared" si="22"/>
        <v>133500</v>
      </c>
    </row>
    <row r="40" spans="2:51" ht="45" customHeight="1" x14ac:dyDescent="0.25">
      <c r="B40" s="21">
        <v>36</v>
      </c>
      <c r="C40" s="109">
        <v>1087</v>
      </c>
      <c r="D40" s="109">
        <v>1087</v>
      </c>
      <c r="E40" s="122" t="s">
        <v>320</v>
      </c>
      <c r="F40" s="109"/>
      <c r="G40" s="286" t="s">
        <v>316</v>
      </c>
      <c r="H40" s="287" t="s">
        <v>317</v>
      </c>
      <c r="I40" s="110" t="s">
        <v>86</v>
      </c>
      <c r="J40" s="33">
        <v>40000</v>
      </c>
      <c r="K40" s="2"/>
      <c r="L40" s="15">
        <v>46052</v>
      </c>
      <c r="M40" s="17" t="str">
        <f t="shared" ref="M40:M41" si="23">DATEDIF(J40,L40,"y")&amp;" years,"&amp;DATEDIF(J40,L40,"ym")&amp;" months"</f>
        <v>16 years,6 months</v>
      </c>
      <c r="N40" s="1">
        <f>VLOOKUP(C40,'[1]stff-sal'!$B$2:$R$41,17,0)</f>
        <v>19</v>
      </c>
      <c r="O40" s="1">
        <v>0</v>
      </c>
      <c r="P40" s="1">
        <v>0</v>
      </c>
      <c r="Q40" s="1">
        <f>VLOOKUP(C40,'[1]stff-sal'!$B$2:$S$41,18,0)</f>
        <v>2</v>
      </c>
      <c r="R40" s="1">
        <v>0</v>
      </c>
      <c r="S40" s="1">
        <v>0</v>
      </c>
      <c r="T40" s="1">
        <f t="shared" ref="T40:T41" si="24">SUM(N40:S40)</f>
        <v>21</v>
      </c>
      <c r="U40" s="2">
        <f t="shared" ref="U40:U41" si="25">Z40*50%</f>
        <v>28875</v>
      </c>
      <c r="V40" s="2">
        <f t="shared" ref="V40:V41" si="26">Z40*20%</f>
        <v>11550</v>
      </c>
      <c r="W40" s="2">
        <f t="shared" ref="W40:W41" si="27">Z40*10%</f>
        <v>5775</v>
      </c>
      <c r="X40" s="2">
        <f t="shared" ref="X40:X41" si="28">Z40*10%</f>
        <v>5775</v>
      </c>
      <c r="Y40" s="2">
        <f t="shared" ref="Y40:Y41" si="29">Z40*10%</f>
        <v>5775</v>
      </c>
      <c r="Z40" s="2">
        <v>57750</v>
      </c>
      <c r="AA40" s="4">
        <f t="shared" ref="AA40:AA41" si="30">+U40/$H$4*T40</f>
        <v>22458.333333333332</v>
      </c>
      <c r="AB40" s="4">
        <f t="shared" ref="AB40:AB41" si="31">+V40/$H$4*T40</f>
        <v>8983.3333333333339</v>
      </c>
      <c r="AC40" s="4">
        <f t="shared" ref="AC40:AC41" si="32">+X40/$H$4*T40</f>
        <v>4491.666666666667</v>
      </c>
      <c r="AD40" s="4">
        <f t="shared" ref="AD40:AD41" si="33">+X40/$H$4*T40</f>
        <v>4491.666666666667</v>
      </c>
      <c r="AE40" s="4">
        <f t="shared" ref="AE40:AE41" si="34">+Y40/$H$4*T40</f>
        <v>4491.666666666667</v>
      </c>
      <c r="AF40" s="283">
        <f t="shared" ref="AF40:AF41" si="35">SUM(AA40:AE40)</f>
        <v>44916.666666666657</v>
      </c>
      <c r="AG40" s="4">
        <f t="shared" si="15"/>
        <v>15000</v>
      </c>
      <c r="AH40" s="4">
        <f t="shared" si="16"/>
        <v>0</v>
      </c>
      <c r="AI40" s="4">
        <f t="shared" ref="AI40:AI41" si="36">+IF(AG40&gt;15000,1800,MIN(AG40*12%))</f>
        <v>1800</v>
      </c>
      <c r="AJ40" s="181">
        <v>1800</v>
      </c>
      <c r="AK40" s="4">
        <f t="shared" ref="AK40:AK41" si="37">+ROUNDUP((IF(Z40&gt;21001,0,MIN(AH40,AH40*0.75%))),0)</f>
        <v>0</v>
      </c>
      <c r="AL40" s="181">
        <v>0</v>
      </c>
      <c r="AM40" s="4">
        <v>0</v>
      </c>
      <c r="AN40" s="2">
        <v>215</v>
      </c>
      <c r="AO40" s="2">
        <v>0</v>
      </c>
      <c r="AP40" s="2">
        <v>1500</v>
      </c>
      <c r="AQ40" s="4">
        <f t="shared" ref="AQ40:AQ41" si="38">SUM(AI40:AP40)</f>
        <v>5315</v>
      </c>
      <c r="AR40" s="4">
        <f t="shared" ref="AR40:AR41" si="39">SUM(AF40-AQ40)</f>
        <v>39601.666666666657</v>
      </c>
      <c r="AS40" s="2"/>
      <c r="AT40" s="16">
        <v>0</v>
      </c>
      <c r="AU40" s="2">
        <v>135000</v>
      </c>
      <c r="AV40" s="2">
        <f t="shared" ref="AV40:AV41" si="40">AT40+AU40</f>
        <v>135000</v>
      </c>
      <c r="AW40" s="2">
        <f t="shared" ref="AW40:AW41" si="41">AV40-AP40</f>
        <v>133500</v>
      </c>
    </row>
    <row r="41" spans="2:51" ht="45" customHeight="1" x14ac:dyDescent="0.25">
      <c r="B41" s="21">
        <v>37</v>
      </c>
      <c r="C41" s="109">
        <v>1089</v>
      </c>
      <c r="D41" s="109">
        <v>1087</v>
      </c>
      <c r="E41" s="122" t="s">
        <v>319</v>
      </c>
      <c r="F41" s="109"/>
      <c r="G41" s="286" t="s">
        <v>318</v>
      </c>
      <c r="H41" s="287" t="s">
        <v>317</v>
      </c>
      <c r="I41" s="110" t="s">
        <v>86</v>
      </c>
      <c r="J41" s="33">
        <v>40000</v>
      </c>
      <c r="K41" s="2"/>
      <c r="L41" s="15">
        <v>46052</v>
      </c>
      <c r="M41" s="17" t="str">
        <f t="shared" si="23"/>
        <v>16 years,6 months</v>
      </c>
      <c r="N41" s="1">
        <f>VLOOKUP(C41,'[1]stff-sal'!$B$2:$R$41,17,0)</f>
        <v>5</v>
      </c>
      <c r="O41" s="1">
        <v>0</v>
      </c>
      <c r="P41" s="1">
        <v>0</v>
      </c>
      <c r="Q41" s="1">
        <f>VLOOKUP(C41,'[1]stff-sal'!$B$2:$S$41,18,0)</f>
        <v>0</v>
      </c>
      <c r="R41" s="1">
        <v>0</v>
      </c>
      <c r="S41" s="1">
        <v>0</v>
      </c>
      <c r="T41" s="1">
        <f t="shared" si="24"/>
        <v>5</v>
      </c>
      <c r="U41" s="2">
        <f t="shared" si="25"/>
        <v>21000</v>
      </c>
      <c r="V41" s="2">
        <f t="shared" si="26"/>
        <v>8400</v>
      </c>
      <c r="W41" s="2">
        <f t="shared" si="27"/>
        <v>4200</v>
      </c>
      <c r="X41" s="2">
        <f t="shared" si="28"/>
        <v>4200</v>
      </c>
      <c r="Y41" s="2">
        <f t="shared" si="29"/>
        <v>4200</v>
      </c>
      <c r="Z41" s="2">
        <v>42000</v>
      </c>
      <c r="AA41" s="4">
        <f t="shared" si="30"/>
        <v>3888.8888888888891</v>
      </c>
      <c r="AB41" s="4">
        <f t="shared" si="31"/>
        <v>1555.5555555555554</v>
      </c>
      <c r="AC41" s="4">
        <f t="shared" si="32"/>
        <v>777.77777777777771</v>
      </c>
      <c r="AD41" s="4">
        <f t="shared" si="33"/>
        <v>777.77777777777771</v>
      </c>
      <c r="AE41" s="4">
        <f t="shared" si="34"/>
        <v>777.77777777777771</v>
      </c>
      <c r="AF41" s="283">
        <f t="shared" si="35"/>
        <v>7777.7777777777765</v>
      </c>
      <c r="AG41" s="4">
        <f t="shared" si="15"/>
        <v>6222.2222222222217</v>
      </c>
      <c r="AH41" s="4">
        <f t="shared" si="16"/>
        <v>6999.9999999999991</v>
      </c>
      <c r="AI41" s="4">
        <f t="shared" si="36"/>
        <v>746.66666666666663</v>
      </c>
      <c r="AJ41" s="181">
        <v>747</v>
      </c>
      <c r="AK41" s="4">
        <f t="shared" si="37"/>
        <v>0</v>
      </c>
      <c r="AL41" s="181">
        <v>0</v>
      </c>
      <c r="AM41" s="4">
        <v>0</v>
      </c>
      <c r="AN41" s="2">
        <v>215</v>
      </c>
      <c r="AO41" s="2">
        <v>0</v>
      </c>
      <c r="AP41" s="2">
        <v>1500</v>
      </c>
      <c r="AQ41" s="4">
        <f t="shared" si="38"/>
        <v>3208.6666666666665</v>
      </c>
      <c r="AR41" s="4">
        <f t="shared" si="39"/>
        <v>4569.1111111111095</v>
      </c>
      <c r="AS41" s="2"/>
      <c r="AT41" s="16">
        <v>0</v>
      </c>
      <c r="AU41" s="2">
        <v>135000</v>
      </c>
      <c r="AV41" s="2">
        <f t="shared" si="40"/>
        <v>135000</v>
      </c>
      <c r="AW41" s="2">
        <f t="shared" si="41"/>
        <v>133500</v>
      </c>
    </row>
    <row r="42" spans="2:51" ht="45" customHeight="1" x14ac:dyDescent="0.25">
      <c r="B42" s="21">
        <v>38</v>
      </c>
      <c r="C42" s="109">
        <v>1501</v>
      </c>
      <c r="D42" s="109">
        <v>1501</v>
      </c>
      <c r="E42" s="4">
        <v>100204604139</v>
      </c>
      <c r="F42" s="4">
        <v>0</v>
      </c>
      <c r="G42" s="138" t="s">
        <v>129</v>
      </c>
      <c r="H42" s="22" t="s">
        <v>130</v>
      </c>
      <c r="I42" s="110" t="s">
        <v>130</v>
      </c>
      <c r="J42" s="33">
        <v>40133</v>
      </c>
      <c r="K42" s="2"/>
      <c r="L42" s="15">
        <v>46052</v>
      </c>
      <c r="M42" s="17" t="str">
        <f t="shared" si="2"/>
        <v>16 years,2 months</v>
      </c>
      <c r="N42" s="1">
        <f>VLOOKUP(C42,'[1]stff-sal'!$B$2:$R$41,17,0)</f>
        <v>21</v>
      </c>
      <c r="O42" s="1">
        <v>0</v>
      </c>
      <c r="P42" s="1">
        <v>0</v>
      </c>
      <c r="Q42" s="1">
        <f>VLOOKUP(C42,'[1]stff-sal'!$B$2:$S$41,18,0)</f>
        <v>2</v>
      </c>
      <c r="R42" s="1">
        <v>0</v>
      </c>
      <c r="S42" s="1">
        <v>0</v>
      </c>
      <c r="T42" s="1">
        <f t="shared" si="3"/>
        <v>23</v>
      </c>
      <c r="U42" s="2">
        <f t="shared" si="4"/>
        <v>13925</v>
      </c>
      <c r="V42" s="2">
        <f t="shared" si="5"/>
        <v>5570</v>
      </c>
      <c r="W42" s="2">
        <f t="shared" si="6"/>
        <v>2785</v>
      </c>
      <c r="X42" s="2">
        <f t="shared" si="7"/>
        <v>2785</v>
      </c>
      <c r="Y42" s="2">
        <f t="shared" si="8"/>
        <v>2785</v>
      </c>
      <c r="Z42" s="2">
        <v>27850</v>
      </c>
      <c r="AA42" s="4">
        <f t="shared" si="9"/>
        <v>11862.037037037038</v>
      </c>
      <c r="AB42" s="4">
        <f t="shared" si="10"/>
        <v>4744.8148148148148</v>
      </c>
      <c r="AC42" s="4">
        <f t="shared" si="11"/>
        <v>2372.4074074074074</v>
      </c>
      <c r="AD42" s="4">
        <f t="shared" si="12"/>
        <v>2372.4074074074074</v>
      </c>
      <c r="AE42" s="4">
        <f t="shared" si="13"/>
        <v>2372.4074074074074</v>
      </c>
      <c r="AF42" s="283">
        <f t="shared" si="14"/>
        <v>23724.07407407408</v>
      </c>
      <c r="AG42" s="4">
        <f t="shared" si="15"/>
        <v>15000</v>
      </c>
      <c r="AH42" s="4">
        <f t="shared" si="16"/>
        <v>0</v>
      </c>
      <c r="AI42" s="4">
        <f t="shared" si="17"/>
        <v>1800</v>
      </c>
      <c r="AJ42" s="181">
        <v>1800</v>
      </c>
      <c r="AK42" s="4">
        <f t="shared" si="18"/>
        <v>0</v>
      </c>
      <c r="AL42" s="181">
        <v>0</v>
      </c>
      <c r="AM42" s="4">
        <v>0</v>
      </c>
      <c r="AN42" s="2">
        <v>431</v>
      </c>
      <c r="AO42" s="2">
        <v>0</v>
      </c>
      <c r="AP42" s="2">
        <v>2000</v>
      </c>
      <c r="AQ42" s="4">
        <f t="shared" si="19"/>
        <v>6031</v>
      </c>
      <c r="AR42" s="4">
        <f t="shared" si="20"/>
        <v>17693.07407407408</v>
      </c>
      <c r="AS42" s="2"/>
      <c r="AT42" s="16">
        <v>0</v>
      </c>
      <c r="AU42" s="2">
        <v>156000</v>
      </c>
      <c r="AV42" s="2">
        <f t="shared" si="21"/>
        <v>156000</v>
      </c>
      <c r="AW42" s="2">
        <f t="shared" si="22"/>
        <v>154000</v>
      </c>
    </row>
    <row r="43" spans="2:51" ht="45" customHeight="1" x14ac:dyDescent="0.25">
      <c r="B43" s="21">
        <v>39</v>
      </c>
      <c r="C43" s="109">
        <v>1503</v>
      </c>
      <c r="D43" s="109">
        <v>1503</v>
      </c>
      <c r="E43" s="4">
        <v>101433821695</v>
      </c>
      <c r="F43" s="4">
        <v>0</v>
      </c>
      <c r="G43" s="138" t="s">
        <v>131</v>
      </c>
      <c r="H43" s="22" t="s">
        <v>130</v>
      </c>
      <c r="I43" s="110" t="s">
        <v>130</v>
      </c>
      <c r="J43" s="33">
        <v>42328</v>
      </c>
      <c r="K43" s="2"/>
      <c r="L43" s="15">
        <v>46052</v>
      </c>
      <c r="M43" s="17" t="str">
        <f t="shared" si="2"/>
        <v>10 years,2 months</v>
      </c>
      <c r="N43" s="1">
        <f>VLOOKUP(C43,'[1]stff-sal'!$B$2:$R$41,17,0)</f>
        <v>25</v>
      </c>
      <c r="O43" s="1">
        <v>0</v>
      </c>
      <c r="P43" s="1">
        <v>0</v>
      </c>
      <c r="Q43" s="1">
        <f>VLOOKUP(C43,'[1]stff-sal'!$B$2:$S$41,18,0)</f>
        <v>2</v>
      </c>
      <c r="R43" s="1">
        <v>0</v>
      </c>
      <c r="S43" s="1">
        <v>0</v>
      </c>
      <c r="T43" s="1">
        <f t="shared" si="3"/>
        <v>27</v>
      </c>
      <c r="U43" s="2">
        <f t="shared" si="4"/>
        <v>12825</v>
      </c>
      <c r="V43" s="2">
        <f t="shared" si="5"/>
        <v>5130</v>
      </c>
      <c r="W43" s="2">
        <f t="shared" si="6"/>
        <v>2565</v>
      </c>
      <c r="X43" s="2">
        <f t="shared" si="7"/>
        <v>2565</v>
      </c>
      <c r="Y43" s="2">
        <f t="shared" si="8"/>
        <v>2565</v>
      </c>
      <c r="Z43" s="2">
        <v>25650</v>
      </c>
      <c r="AA43" s="4">
        <f t="shared" si="9"/>
        <v>12825</v>
      </c>
      <c r="AB43" s="4">
        <f t="shared" si="10"/>
        <v>5130</v>
      </c>
      <c r="AC43" s="4">
        <f t="shared" si="11"/>
        <v>2565</v>
      </c>
      <c r="AD43" s="4">
        <f t="shared" si="12"/>
        <v>2565</v>
      </c>
      <c r="AE43" s="4">
        <f t="shared" si="13"/>
        <v>2565</v>
      </c>
      <c r="AF43" s="283">
        <f t="shared" si="14"/>
        <v>25650</v>
      </c>
      <c r="AG43" s="4">
        <f t="shared" si="15"/>
        <v>15000</v>
      </c>
      <c r="AH43" s="4">
        <f t="shared" si="16"/>
        <v>0</v>
      </c>
      <c r="AI43" s="4">
        <f t="shared" si="17"/>
        <v>1800</v>
      </c>
      <c r="AJ43" s="181">
        <v>1800</v>
      </c>
      <c r="AK43" s="4">
        <f t="shared" si="18"/>
        <v>0</v>
      </c>
      <c r="AL43" s="181">
        <v>0</v>
      </c>
      <c r="AM43" s="4">
        <v>0</v>
      </c>
      <c r="AN43" s="2">
        <v>0</v>
      </c>
      <c r="AO43" s="2">
        <v>0</v>
      </c>
      <c r="AP43" s="2">
        <v>1000</v>
      </c>
      <c r="AQ43" s="4">
        <f t="shared" si="19"/>
        <v>4600</v>
      </c>
      <c r="AR43" s="4">
        <f t="shared" si="20"/>
        <v>21050</v>
      </c>
      <c r="AS43" s="2"/>
      <c r="AT43" s="16">
        <v>0</v>
      </c>
      <c r="AU43" s="2">
        <v>116000</v>
      </c>
      <c r="AV43" s="2">
        <f t="shared" si="21"/>
        <v>116000</v>
      </c>
      <c r="AW43" s="2">
        <f t="shared" si="22"/>
        <v>115000</v>
      </c>
    </row>
    <row r="44" spans="2:51" ht="45" customHeight="1" x14ac:dyDescent="0.25">
      <c r="B44" s="21">
        <v>40</v>
      </c>
      <c r="C44" s="109">
        <v>1505</v>
      </c>
      <c r="D44" s="109">
        <v>1505</v>
      </c>
      <c r="E44" s="4">
        <v>102226713565</v>
      </c>
      <c r="F44" s="4">
        <v>5611331730</v>
      </c>
      <c r="G44" s="138" t="s">
        <v>132</v>
      </c>
      <c r="H44" s="22" t="s">
        <v>130</v>
      </c>
      <c r="I44" s="110" t="s">
        <v>130</v>
      </c>
      <c r="J44" s="33">
        <v>45273</v>
      </c>
      <c r="K44" s="2"/>
      <c r="L44" s="15">
        <v>46052</v>
      </c>
      <c r="M44" s="17" t="str">
        <f t="shared" si="2"/>
        <v>2 years,1 months</v>
      </c>
      <c r="N44" s="1">
        <f>VLOOKUP(C44,'[1]stff-sal'!$B$2:$R$41,17,0)</f>
        <v>27</v>
      </c>
      <c r="O44" s="1">
        <v>0</v>
      </c>
      <c r="P44" s="1">
        <v>0</v>
      </c>
      <c r="Q44" s="1">
        <f>VLOOKUP(C44,'[1]stff-sal'!$B$2:$S$41,18,0)</f>
        <v>0</v>
      </c>
      <c r="R44" s="1">
        <v>0</v>
      </c>
      <c r="S44" s="1">
        <v>0</v>
      </c>
      <c r="T44" s="1">
        <f t="shared" si="3"/>
        <v>27</v>
      </c>
      <c r="U44" s="2">
        <f t="shared" si="4"/>
        <v>11000</v>
      </c>
      <c r="V44" s="2">
        <f t="shared" si="5"/>
        <v>4400</v>
      </c>
      <c r="W44" s="2">
        <f t="shared" si="6"/>
        <v>2200</v>
      </c>
      <c r="X44" s="2">
        <f t="shared" si="7"/>
        <v>2200</v>
      </c>
      <c r="Y44" s="2">
        <f t="shared" si="8"/>
        <v>2200</v>
      </c>
      <c r="Z44" s="2">
        <v>22000</v>
      </c>
      <c r="AA44" s="4">
        <f t="shared" si="9"/>
        <v>11000</v>
      </c>
      <c r="AB44" s="4">
        <f t="shared" si="10"/>
        <v>4400</v>
      </c>
      <c r="AC44" s="4">
        <f t="shared" si="11"/>
        <v>2200</v>
      </c>
      <c r="AD44" s="4">
        <f t="shared" si="12"/>
        <v>2200</v>
      </c>
      <c r="AE44" s="4">
        <f t="shared" si="13"/>
        <v>2200</v>
      </c>
      <c r="AF44" s="283">
        <f t="shared" si="14"/>
        <v>22000</v>
      </c>
      <c r="AG44" s="4">
        <f t="shared" si="15"/>
        <v>15000</v>
      </c>
      <c r="AH44" s="4">
        <f t="shared" si="16"/>
        <v>0</v>
      </c>
      <c r="AI44" s="4">
        <f t="shared" si="17"/>
        <v>1800</v>
      </c>
      <c r="AJ44" s="181">
        <v>1800</v>
      </c>
      <c r="AK44" s="4">
        <f t="shared" si="18"/>
        <v>0</v>
      </c>
      <c r="AL44" s="181">
        <v>0</v>
      </c>
      <c r="AM44" s="4">
        <v>0</v>
      </c>
      <c r="AN44" s="2">
        <v>0</v>
      </c>
      <c r="AO44" s="2">
        <v>0</v>
      </c>
      <c r="AP44" s="2">
        <v>500</v>
      </c>
      <c r="AQ44" s="4">
        <f t="shared" si="19"/>
        <v>4100</v>
      </c>
      <c r="AR44" s="4">
        <f t="shared" si="20"/>
        <v>17900</v>
      </c>
      <c r="AS44" s="2"/>
      <c r="AT44" s="16">
        <v>0</v>
      </c>
      <c r="AU44" s="2">
        <v>25500</v>
      </c>
      <c r="AV44" s="2">
        <f t="shared" si="21"/>
        <v>25500</v>
      </c>
      <c r="AW44" s="2">
        <f t="shared" si="22"/>
        <v>25000</v>
      </c>
    </row>
    <row r="45" spans="2:51" ht="45" customHeight="1" thickBot="1" x14ac:dyDescent="0.3">
      <c r="B45" s="21">
        <v>41</v>
      </c>
      <c r="C45" s="109">
        <v>1506</v>
      </c>
      <c r="D45" s="109">
        <v>1506</v>
      </c>
      <c r="E45" s="4">
        <v>102250802421</v>
      </c>
      <c r="F45" s="4">
        <v>5611433113</v>
      </c>
      <c r="G45" s="138" t="s">
        <v>133</v>
      </c>
      <c r="H45" s="22" t="s">
        <v>130</v>
      </c>
      <c r="I45" s="110" t="s">
        <v>130</v>
      </c>
      <c r="J45" s="33">
        <v>45511</v>
      </c>
      <c r="K45" s="2"/>
      <c r="L45" s="15">
        <v>46052</v>
      </c>
      <c r="M45" s="17" t="str">
        <f t="shared" si="2"/>
        <v>1 years,5 months</v>
      </c>
      <c r="N45" s="1">
        <f>VLOOKUP(C45,'[1]stff-sal'!$B$2:$R$41,17,0)</f>
        <v>27</v>
      </c>
      <c r="O45" s="1">
        <v>0</v>
      </c>
      <c r="P45" s="1">
        <v>0</v>
      </c>
      <c r="Q45" s="1">
        <f>VLOOKUP(C45,'[1]stff-sal'!$B$2:$S$41,18,0)</f>
        <v>0</v>
      </c>
      <c r="R45" s="1">
        <v>0</v>
      </c>
      <c r="S45" s="1">
        <v>0</v>
      </c>
      <c r="T45" s="1">
        <f t="shared" si="3"/>
        <v>27</v>
      </c>
      <c r="U45" s="2">
        <f t="shared" si="4"/>
        <v>10250</v>
      </c>
      <c r="V45" s="2">
        <f t="shared" si="5"/>
        <v>4100</v>
      </c>
      <c r="W45" s="2">
        <f t="shared" si="6"/>
        <v>2050</v>
      </c>
      <c r="X45" s="2">
        <f t="shared" si="7"/>
        <v>2050</v>
      </c>
      <c r="Y45" s="2">
        <f t="shared" si="8"/>
        <v>2050</v>
      </c>
      <c r="Z45" s="2">
        <v>20500</v>
      </c>
      <c r="AA45" s="4">
        <f t="shared" si="9"/>
        <v>10250</v>
      </c>
      <c r="AB45" s="4">
        <f t="shared" si="10"/>
        <v>4100</v>
      </c>
      <c r="AC45" s="4">
        <f t="shared" si="11"/>
        <v>2050</v>
      </c>
      <c r="AD45" s="4">
        <f t="shared" si="12"/>
        <v>2050</v>
      </c>
      <c r="AE45" s="4">
        <f t="shared" si="13"/>
        <v>2050</v>
      </c>
      <c r="AF45" s="283">
        <f t="shared" si="14"/>
        <v>20500</v>
      </c>
      <c r="AG45" s="4">
        <f t="shared" si="15"/>
        <v>15000</v>
      </c>
      <c r="AH45" s="4">
        <f t="shared" si="16"/>
        <v>18450</v>
      </c>
      <c r="AI45" s="4">
        <f t="shared" si="17"/>
        <v>1800</v>
      </c>
      <c r="AJ45" s="181">
        <v>1800</v>
      </c>
      <c r="AK45" s="4">
        <f t="shared" si="18"/>
        <v>139</v>
      </c>
      <c r="AL45" s="181">
        <v>143</v>
      </c>
      <c r="AM45" s="4">
        <v>0</v>
      </c>
      <c r="AN45" s="2">
        <v>0</v>
      </c>
      <c r="AO45" s="2">
        <v>0</v>
      </c>
      <c r="AP45" s="2">
        <v>1000</v>
      </c>
      <c r="AQ45" s="4">
        <f t="shared" si="19"/>
        <v>4882</v>
      </c>
      <c r="AR45" s="4">
        <f t="shared" si="20"/>
        <v>15618</v>
      </c>
      <c r="AS45" s="2"/>
      <c r="AT45" s="58"/>
      <c r="AU45" s="2">
        <v>90000</v>
      </c>
      <c r="AV45" s="2">
        <f t="shared" si="21"/>
        <v>90000</v>
      </c>
      <c r="AW45" s="2">
        <f t="shared" si="22"/>
        <v>89000</v>
      </c>
    </row>
    <row r="46" spans="2:51" ht="62.25" customHeight="1" thickBot="1" x14ac:dyDescent="0.3">
      <c r="B46" s="195" t="s">
        <v>24</v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23">
        <f t="shared" ref="N46:AR46" si="42">SUM(N6:N45)</f>
        <v>975.5</v>
      </c>
      <c r="O46" s="23">
        <f t="shared" si="42"/>
        <v>0</v>
      </c>
      <c r="P46" s="23">
        <f t="shared" si="42"/>
        <v>0</v>
      </c>
      <c r="Q46" s="23">
        <f t="shared" si="42"/>
        <v>35</v>
      </c>
      <c r="R46" s="23">
        <f t="shared" si="42"/>
        <v>0</v>
      </c>
      <c r="S46" s="23">
        <f t="shared" si="42"/>
        <v>0</v>
      </c>
      <c r="T46" s="23">
        <f t="shared" si="42"/>
        <v>1010.5</v>
      </c>
      <c r="U46" s="23">
        <f t="shared" si="42"/>
        <v>819527.5</v>
      </c>
      <c r="V46" s="23">
        <f t="shared" si="42"/>
        <v>327811</v>
      </c>
      <c r="W46" s="23">
        <f t="shared" si="42"/>
        <v>163905.5</v>
      </c>
      <c r="X46" s="23">
        <f t="shared" si="42"/>
        <v>163905.5</v>
      </c>
      <c r="Y46" s="23">
        <f t="shared" si="42"/>
        <v>163905.5</v>
      </c>
      <c r="Z46" s="23">
        <f t="shared" si="42"/>
        <v>1639055</v>
      </c>
      <c r="AA46" s="23">
        <f t="shared" si="42"/>
        <v>774428.79629629641</v>
      </c>
      <c r="AB46" s="23">
        <f t="shared" si="42"/>
        <v>309771.51851851854</v>
      </c>
      <c r="AC46" s="23">
        <f t="shared" si="42"/>
        <v>154885.75925925927</v>
      </c>
      <c r="AD46" s="23">
        <f t="shared" si="42"/>
        <v>154885.75925925927</v>
      </c>
      <c r="AE46" s="23">
        <f t="shared" si="42"/>
        <v>154885.75925925927</v>
      </c>
      <c r="AF46" s="284">
        <f t="shared" si="42"/>
        <v>1548857.5925925928</v>
      </c>
      <c r="AG46" s="23">
        <f t="shared" si="42"/>
        <v>577577.77777777775</v>
      </c>
      <c r="AH46" s="23">
        <f t="shared" si="42"/>
        <v>80300</v>
      </c>
      <c r="AI46" s="23">
        <f t="shared" si="42"/>
        <v>69309.333333333328</v>
      </c>
      <c r="AJ46" s="182">
        <f t="shared" si="42"/>
        <v>69338</v>
      </c>
      <c r="AK46" s="23">
        <f t="shared" si="42"/>
        <v>551</v>
      </c>
      <c r="AL46" s="182">
        <f t="shared" si="42"/>
        <v>566</v>
      </c>
      <c r="AM46" s="23">
        <f t="shared" si="42"/>
        <v>0</v>
      </c>
      <c r="AN46" s="23">
        <f t="shared" si="42"/>
        <v>3495</v>
      </c>
      <c r="AO46" s="23">
        <f t="shared" si="42"/>
        <v>20496</v>
      </c>
      <c r="AP46" s="23">
        <f t="shared" si="42"/>
        <v>27500</v>
      </c>
      <c r="AQ46" s="23">
        <f t="shared" si="42"/>
        <v>191255.33333333334</v>
      </c>
      <c r="AR46" s="23">
        <f t="shared" si="42"/>
        <v>1357602.2592592591</v>
      </c>
      <c r="AS46" s="23"/>
      <c r="AT46" s="23">
        <f>SUM(AT6:AT45)</f>
        <v>5000</v>
      </c>
      <c r="AU46" s="23">
        <f>SUM(AU6:AU45)</f>
        <v>2006640</v>
      </c>
      <c r="AV46" s="23">
        <f>SUM(AV6:AV45)</f>
        <v>2011640</v>
      </c>
      <c r="AW46" s="23">
        <f>SUM(AW6:AW45)</f>
        <v>1985140</v>
      </c>
      <c r="AY46" s="18"/>
    </row>
    <row r="47" spans="2:51" ht="99" customHeight="1" thickBot="1" x14ac:dyDescent="0.3">
      <c r="B47" s="210" t="s">
        <v>60</v>
      </c>
      <c r="C47" s="211"/>
      <c r="D47" s="211"/>
      <c r="E47" s="211"/>
      <c r="F47" s="211"/>
      <c r="G47" s="211"/>
      <c r="H47" s="212"/>
      <c r="I47" s="203" t="s">
        <v>61</v>
      </c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5"/>
      <c r="U47" s="206" t="s">
        <v>62</v>
      </c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8"/>
      <c r="AI47" s="209" t="s">
        <v>63</v>
      </c>
      <c r="AJ47" s="209"/>
      <c r="AK47" s="207"/>
      <c r="AL47" s="207"/>
      <c r="AM47" s="207"/>
      <c r="AN47" s="207"/>
      <c r="AO47" s="207"/>
      <c r="AP47" s="207"/>
      <c r="AQ47" s="207"/>
      <c r="AR47" s="207"/>
      <c r="AS47" s="207"/>
      <c r="AT47" s="207"/>
      <c r="AU47" s="207"/>
      <c r="AV47" s="207"/>
      <c r="AW47" s="208"/>
    </row>
    <row r="48" spans="2:51" x14ac:dyDescent="0.25">
      <c r="B48" s="24"/>
      <c r="AW48" s="25"/>
    </row>
    <row r="49" spans="2:49" ht="15.75" thickBot="1" x14ac:dyDescent="0.3"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85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8"/>
    </row>
    <row r="50" spans="2:49" x14ac:dyDescent="0.25">
      <c r="B50" s="18"/>
      <c r="N50" s="18"/>
      <c r="O50" s="18"/>
      <c r="P50" s="18"/>
      <c r="Q50" s="18"/>
      <c r="R50" s="18"/>
      <c r="S50" s="18"/>
      <c r="T50" s="18"/>
      <c r="Z50" s="18"/>
    </row>
    <row r="51" spans="2:49" x14ac:dyDescent="0.25">
      <c r="L51" s="29"/>
      <c r="T51" s="18"/>
    </row>
    <row r="52" spans="2:49" x14ac:dyDescent="0.25">
      <c r="L52" s="29"/>
      <c r="T52" s="18"/>
    </row>
    <row r="53" spans="2:49" x14ac:dyDescent="0.25">
      <c r="N53" s="18"/>
      <c r="O53" s="18"/>
      <c r="P53" s="18"/>
      <c r="Q53" s="18"/>
      <c r="R53" s="18"/>
      <c r="S53" s="18"/>
      <c r="T53" s="18"/>
    </row>
  </sheetData>
  <sortState ref="B6:AV45">
    <sortCondition ref="D6:D45"/>
  </sortState>
  <mergeCells count="23">
    <mergeCell ref="AR4:AR5"/>
    <mergeCell ref="AS4:AS5"/>
    <mergeCell ref="I4:I5"/>
    <mergeCell ref="J4:J5"/>
    <mergeCell ref="K4:K5"/>
    <mergeCell ref="L4:L5"/>
    <mergeCell ref="M4:M5"/>
    <mergeCell ref="B2:AW2"/>
    <mergeCell ref="B3:AW3"/>
    <mergeCell ref="AI4:AQ4"/>
    <mergeCell ref="AA4:AH4"/>
    <mergeCell ref="I47:T47"/>
    <mergeCell ref="U47:AH47"/>
    <mergeCell ref="AI47:AW47"/>
    <mergeCell ref="B47:H47"/>
    <mergeCell ref="B46:M46"/>
    <mergeCell ref="U4:Z4"/>
    <mergeCell ref="B4:G4"/>
    <mergeCell ref="N4:T4"/>
    <mergeCell ref="AT4:AT5"/>
    <mergeCell ref="AU4:AU5"/>
    <mergeCell ref="AW4:AW5"/>
    <mergeCell ref="AV4:AV5"/>
  </mergeCells>
  <conditionalFormatting sqref="C6:D39 G6:G39 I6:I39 I42:I45 G42:G45 C42:D45">
    <cfRule type="cellIs" dxfId="13" priority="5" operator="equal">
      <formula>"sunday"</formula>
    </cfRule>
  </conditionalFormatting>
  <conditionalFormatting sqref="I40">
    <cfRule type="cellIs" dxfId="3" priority="4" operator="equal">
      <formula>"sunday"</formula>
    </cfRule>
  </conditionalFormatting>
  <conditionalFormatting sqref="I41">
    <cfRule type="cellIs" dxfId="2" priority="3" operator="equal">
      <formula>"sunday"</formula>
    </cfRule>
  </conditionalFormatting>
  <conditionalFormatting sqref="C40:H41">
    <cfRule type="cellIs" dxfId="0" priority="1" operator="equal">
      <formula>"sunday"</formula>
    </cfRule>
  </conditionalFormatting>
  <printOptions horizontalCentered="1"/>
  <pageMargins left="0.25" right="0.25" top="0.25" bottom="0.25" header="0.25" footer="0.25"/>
  <pageSetup paperSize="8" scale="24" fitToHeight="0" orientation="landscape" r:id="rId1"/>
  <colBreaks count="1" manualBreakCount="1">
    <brk id="45" min="1" max="7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P79"/>
  <sheetViews>
    <sheetView tabSelected="1" zoomScale="55" zoomScaleNormal="55" zoomScaleSheetLayoutView="84" workbookViewId="0">
      <pane xSplit="15" ySplit="4" topLeftCell="AN71" activePane="bottomRight" state="frozen"/>
      <selection pane="topRight" activeCell="P1" sqref="P1"/>
      <selection pane="bottomLeft" activeCell="A5" sqref="A5"/>
      <selection pane="bottomRight" activeCell="AU78" sqref="AU78"/>
    </sheetView>
  </sheetViews>
  <sheetFormatPr defaultColWidth="9.140625" defaultRowHeight="20.25" x14ac:dyDescent="0.3"/>
  <cols>
    <col min="1" max="1" width="9.140625" style="65"/>
    <col min="2" max="2" width="10.7109375" style="65" bestFit="1" customWidth="1"/>
    <col min="3" max="3" width="13.5703125" style="65" hidden="1" customWidth="1"/>
    <col min="4" max="4" width="10" style="65" customWidth="1"/>
    <col min="5" max="5" width="18" style="65" hidden="1" customWidth="1"/>
    <col min="6" max="6" width="20.42578125" style="65" bestFit="1" customWidth="1"/>
    <col min="7" max="7" width="28.42578125" style="65" customWidth="1"/>
    <col min="8" max="8" width="45.85546875" style="65" bestFit="1" customWidth="1"/>
    <col min="9" max="9" width="9.5703125" style="102" hidden="1" customWidth="1"/>
    <col min="10" max="10" width="17.42578125" style="102" hidden="1" customWidth="1"/>
    <col min="11" max="11" width="25.85546875" style="65" hidden="1" customWidth="1"/>
    <col min="12" max="12" width="16" style="65" hidden="1" customWidth="1"/>
    <col min="13" max="13" width="19.28515625" style="65" hidden="1" customWidth="1"/>
    <col min="14" max="14" width="14.42578125" style="65" hidden="1" customWidth="1"/>
    <col min="15" max="15" width="24.85546875" style="65" hidden="1" customWidth="1"/>
    <col min="16" max="16" width="12.85546875" style="65" bestFit="1" customWidth="1"/>
    <col min="17" max="18" width="10.28515625" style="65" bestFit="1" customWidth="1"/>
    <col min="19" max="19" width="8.7109375" style="65" bestFit="1" customWidth="1"/>
    <col min="20" max="20" width="7.140625" style="65" bestFit="1" customWidth="1"/>
    <col min="21" max="23" width="12.85546875" style="65" bestFit="1" customWidth="1"/>
    <col min="24" max="24" width="14.42578125" style="104" bestFit="1" customWidth="1"/>
    <col min="25" max="25" width="12.85546875" style="65" bestFit="1" customWidth="1"/>
    <col min="26" max="26" width="16.28515625" style="65" bestFit="1" customWidth="1"/>
    <col min="27" max="31" width="17.140625" style="65" bestFit="1" customWidth="1"/>
    <col min="32" max="32" width="12.85546875" style="65" bestFit="1" customWidth="1"/>
    <col min="33" max="33" width="21" style="65" bestFit="1" customWidth="1"/>
    <col min="34" max="40" width="19.140625" style="65" bestFit="1" customWidth="1"/>
    <col min="41" max="41" width="21" style="65" bestFit="1" customWidth="1"/>
    <col min="42" max="42" width="18.7109375" style="65" bestFit="1" customWidth="1"/>
    <col min="43" max="44" width="19.140625" style="65" bestFit="1" customWidth="1"/>
    <col min="45" max="45" width="8.7109375" style="65" bestFit="1" customWidth="1"/>
    <col min="46" max="46" width="19.140625" style="65" bestFit="1" customWidth="1"/>
    <col min="47" max="47" width="19.140625" style="65" customWidth="1"/>
    <col min="48" max="48" width="14.42578125" style="65" bestFit="1" customWidth="1"/>
    <col min="49" max="49" width="14.42578125" style="65" customWidth="1"/>
    <col min="50" max="50" width="14.42578125" style="65" bestFit="1" customWidth="1"/>
    <col min="51" max="51" width="16.28515625" style="65" bestFit="1" customWidth="1"/>
    <col min="52" max="52" width="12.85546875" style="65" bestFit="1" customWidth="1"/>
    <col min="53" max="53" width="10.5703125" style="65" bestFit="1" customWidth="1"/>
    <col min="54" max="54" width="19.140625" style="65" bestFit="1" customWidth="1"/>
    <col min="55" max="55" width="21" style="65" bestFit="1" customWidth="1"/>
    <col min="56" max="56" width="15.7109375" style="65" customWidth="1"/>
    <col min="57" max="57" width="21.28515625" style="65" customWidth="1"/>
    <col min="58" max="58" width="26.85546875" style="65" bestFit="1" customWidth="1"/>
    <col min="59" max="60" width="21" style="65" bestFit="1" customWidth="1"/>
    <col min="61" max="61" width="11" style="65" bestFit="1" customWidth="1"/>
    <col min="62" max="16384" width="9.140625" style="65"/>
  </cols>
  <sheetData>
    <row r="1" spans="2:60" ht="29.65" customHeight="1" thickBot="1" x14ac:dyDescent="0.35">
      <c r="B1" s="224" t="s">
        <v>228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B1" s="225"/>
      <c r="BC1" s="225"/>
      <c r="BD1" s="225"/>
      <c r="BE1" s="225"/>
      <c r="BF1" s="225"/>
      <c r="BG1" s="225"/>
      <c r="BH1" s="226"/>
    </row>
    <row r="2" spans="2:60" ht="36.75" customHeight="1" thickBot="1" x14ac:dyDescent="0.35">
      <c r="B2" s="224" t="s">
        <v>309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6"/>
    </row>
    <row r="3" spans="2:60" ht="30.75" customHeight="1" thickBot="1" x14ac:dyDescent="0.35">
      <c r="B3" s="224" t="s">
        <v>18</v>
      </c>
      <c r="C3" s="225"/>
      <c r="D3" s="225"/>
      <c r="E3" s="225"/>
      <c r="F3" s="225"/>
      <c r="G3" s="225"/>
      <c r="H3" s="226"/>
      <c r="I3" s="224">
        <v>24</v>
      </c>
      <c r="J3" s="225"/>
      <c r="K3" s="226"/>
      <c r="L3" s="230" t="s">
        <v>26</v>
      </c>
      <c r="M3" s="230" t="s">
        <v>27</v>
      </c>
      <c r="N3" s="232" t="s">
        <v>29</v>
      </c>
      <c r="O3" s="230" t="s">
        <v>28</v>
      </c>
      <c r="P3" s="224" t="s">
        <v>64</v>
      </c>
      <c r="Q3" s="225"/>
      <c r="R3" s="225"/>
      <c r="S3" s="225"/>
      <c r="T3" s="225"/>
      <c r="U3" s="225"/>
      <c r="V3" s="225"/>
      <c r="W3" s="225"/>
      <c r="X3" s="225"/>
      <c r="Y3" s="225"/>
      <c r="Z3" s="226"/>
      <c r="AA3" s="225" t="s">
        <v>56</v>
      </c>
      <c r="AB3" s="225"/>
      <c r="AC3" s="225"/>
      <c r="AD3" s="225"/>
      <c r="AE3" s="225"/>
      <c r="AF3" s="225"/>
      <c r="AG3" s="226"/>
      <c r="AH3" s="224" t="s">
        <v>12</v>
      </c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24" t="s">
        <v>13</v>
      </c>
      <c r="AU3" s="225"/>
      <c r="AV3" s="225"/>
      <c r="AW3" s="225"/>
      <c r="AX3" s="225"/>
      <c r="AY3" s="225"/>
      <c r="AZ3" s="225"/>
      <c r="BA3" s="225"/>
      <c r="BB3" s="226"/>
      <c r="BC3" s="230" t="s">
        <v>22</v>
      </c>
      <c r="BD3" s="230" t="s">
        <v>17</v>
      </c>
      <c r="BE3" s="230" t="s">
        <v>65</v>
      </c>
      <c r="BF3" s="230" t="s">
        <v>71</v>
      </c>
      <c r="BG3" s="230" t="s">
        <v>20</v>
      </c>
      <c r="BH3" s="230" t="s">
        <v>21</v>
      </c>
    </row>
    <row r="4" spans="2:60" ht="58.5" customHeight="1" thickBot="1" x14ac:dyDescent="0.35">
      <c r="B4" s="66" t="s">
        <v>35</v>
      </c>
      <c r="C4" s="67" t="s">
        <v>37</v>
      </c>
      <c r="D4" s="66" t="s">
        <v>23</v>
      </c>
      <c r="E4" s="67" t="s">
        <v>42</v>
      </c>
      <c r="F4" s="66" t="s">
        <v>80</v>
      </c>
      <c r="G4" s="68" t="s">
        <v>81</v>
      </c>
      <c r="H4" s="66" t="s">
        <v>5</v>
      </c>
      <c r="I4" s="69" t="s">
        <v>76</v>
      </c>
      <c r="J4" s="69" t="s">
        <v>36</v>
      </c>
      <c r="K4" s="69" t="s">
        <v>6</v>
      </c>
      <c r="L4" s="231"/>
      <c r="M4" s="231"/>
      <c r="N4" s="233"/>
      <c r="O4" s="231"/>
      <c r="P4" s="66" t="s">
        <v>0</v>
      </c>
      <c r="Q4" s="66" t="s">
        <v>58</v>
      </c>
      <c r="R4" s="66" t="s">
        <v>1</v>
      </c>
      <c r="S4" s="66" t="s">
        <v>2</v>
      </c>
      <c r="T4" s="66" t="s">
        <v>3</v>
      </c>
      <c r="U4" s="66" t="s">
        <v>4</v>
      </c>
      <c r="V4" s="66" t="s">
        <v>54</v>
      </c>
      <c r="W4" s="66" t="s">
        <v>68</v>
      </c>
      <c r="X4" s="70" t="s">
        <v>67</v>
      </c>
      <c r="Y4" s="66" t="s">
        <v>53</v>
      </c>
      <c r="Z4" s="66" t="s">
        <v>19</v>
      </c>
      <c r="AA4" s="66" t="s">
        <v>31</v>
      </c>
      <c r="AB4" s="66" t="s">
        <v>8</v>
      </c>
      <c r="AC4" s="66" t="s">
        <v>32</v>
      </c>
      <c r="AD4" s="66" t="s">
        <v>48</v>
      </c>
      <c r="AE4" s="66" t="s">
        <v>9</v>
      </c>
      <c r="AF4" s="66" t="s">
        <v>51</v>
      </c>
      <c r="AG4" s="66" t="s">
        <v>7</v>
      </c>
      <c r="AH4" s="66" t="s">
        <v>31</v>
      </c>
      <c r="AI4" s="66" t="s">
        <v>8</v>
      </c>
      <c r="AJ4" s="66" t="s">
        <v>10</v>
      </c>
      <c r="AK4" s="66" t="s">
        <v>48</v>
      </c>
      <c r="AL4" s="66" t="s">
        <v>9</v>
      </c>
      <c r="AM4" s="66" t="s">
        <v>66</v>
      </c>
      <c r="AN4" s="66" t="s">
        <v>52</v>
      </c>
      <c r="AO4" s="66" t="s">
        <v>7</v>
      </c>
      <c r="AP4" s="66" t="s">
        <v>82</v>
      </c>
      <c r="AQ4" s="66" t="s">
        <v>14</v>
      </c>
      <c r="AR4" s="66" t="s">
        <v>15</v>
      </c>
      <c r="AS4" s="66" t="s">
        <v>69</v>
      </c>
      <c r="AT4" s="66" t="s">
        <v>33</v>
      </c>
      <c r="AU4" s="179" t="s">
        <v>291</v>
      </c>
      <c r="AV4" s="66" t="s">
        <v>30</v>
      </c>
      <c r="AW4" s="179" t="s">
        <v>292</v>
      </c>
      <c r="AX4" s="66" t="s">
        <v>46</v>
      </c>
      <c r="AY4" s="66" t="s">
        <v>45</v>
      </c>
      <c r="AZ4" s="66" t="s">
        <v>70</v>
      </c>
      <c r="BA4" s="66" t="s">
        <v>49</v>
      </c>
      <c r="BB4" s="66" t="s">
        <v>34</v>
      </c>
      <c r="BC4" s="231"/>
      <c r="BD4" s="231"/>
      <c r="BE4" s="231"/>
      <c r="BF4" s="231"/>
      <c r="BG4" s="231"/>
      <c r="BH4" s="231"/>
    </row>
    <row r="5" spans="2:60" ht="36.200000000000003" customHeight="1" x14ac:dyDescent="0.3">
      <c r="B5" s="71">
        <v>1</v>
      </c>
      <c r="C5" s="72" t="s">
        <v>38</v>
      </c>
      <c r="D5" s="73">
        <v>10002</v>
      </c>
      <c r="E5" s="74" t="s">
        <v>43</v>
      </c>
      <c r="F5" s="72">
        <v>100416874388</v>
      </c>
      <c r="G5" s="72">
        <v>0</v>
      </c>
      <c r="H5" s="75" t="s">
        <v>134</v>
      </c>
      <c r="I5" s="76"/>
      <c r="J5" s="76" t="s">
        <v>239</v>
      </c>
      <c r="K5" s="77" t="s">
        <v>86</v>
      </c>
      <c r="L5" s="78">
        <v>35431</v>
      </c>
      <c r="M5" s="74"/>
      <c r="N5" s="74">
        <v>46021</v>
      </c>
      <c r="O5" s="74" t="str">
        <f t="shared" ref="O5:O35" si="0">DATEDIF(L5,N5,"y")&amp;" years,"&amp;DATEDIF(L5,N5,"ym")&amp;" months"</f>
        <v>28 years,11 months</v>
      </c>
      <c r="P5" s="79">
        <v>21.5</v>
      </c>
      <c r="Q5" s="79">
        <v>0</v>
      </c>
      <c r="R5" s="79">
        <f>VLOOKUP(D5,'[1]work-sAl'!$B$2:$P$39,15,0)</f>
        <v>2</v>
      </c>
      <c r="S5" s="79">
        <v>0</v>
      </c>
      <c r="T5" s="79">
        <v>0</v>
      </c>
      <c r="U5" s="79">
        <f>SUM(P5:T5)</f>
        <v>23.5</v>
      </c>
      <c r="V5" s="79">
        <v>34.5</v>
      </c>
      <c r="W5" s="80">
        <f t="shared" ref="W5:W35" si="1">IF(V5&lt;=50,V5,IF(V5&gt;=50,50,))</f>
        <v>34.5</v>
      </c>
      <c r="X5" s="72">
        <f t="shared" ref="X5:X35" si="2">SUM(V5-W5)</f>
        <v>0</v>
      </c>
      <c r="Y5" s="80">
        <f t="shared" ref="Y5:Y35" si="3">W5/2</f>
        <v>17.25</v>
      </c>
      <c r="Z5" s="79">
        <v>1110</v>
      </c>
      <c r="AA5" s="81">
        <f t="shared" ref="AA5:AA35" si="4">AG5*50%</f>
        <v>14430</v>
      </c>
      <c r="AB5" s="81">
        <f t="shared" ref="AB5:AB35" si="5">AG5*20%</f>
        <v>5772</v>
      </c>
      <c r="AC5" s="81">
        <f t="shared" ref="AC5:AC35" si="6">AG5*10%</f>
        <v>2886</v>
      </c>
      <c r="AD5" s="81">
        <f t="shared" ref="AD5:AD35" si="7">AG5*10%</f>
        <v>2886</v>
      </c>
      <c r="AE5" s="81">
        <f t="shared" ref="AE5:AE35" si="8">AG5*10%</f>
        <v>2886</v>
      </c>
      <c r="AF5" s="82">
        <f t="shared" ref="AF5:AF35" si="9">Z5/8</f>
        <v>138.75</v>
      </c>
      <c r="AG5" s="81">
        <f>Z5*26</f>
        <v>28860</v>
      </c>
      <c r="AH5" s="72">
        <f>+AA5/26*U5</f>
        <v>13042.5</v>
      </c>
      <c r="AI5" s="72">
        <f>+AB5/26*U5</f>
        <v>5217</v>
      </c>
      <c r="AJ5" s="72">
        <f>+AC5/26*U5</f>
        <v>2608.5</v>
      </c>
      <c r="AK5" s="72">
        <f>+AD5/26*U5</f>
        <v>2608.5</v>
      </c>
      <c r="AL5" s="72">
        <f>+AE5/26*U5</f>
        <v>2608.5</v>
      </c>
      <c r="AM5" s="81">
        <f t="shared" ref="AM5" si="10">SUM(X5*AF5)</f>
        <v>0</v>
      </c>
      <c r="AN5" s="81">
        <f t="shared" ref="AN5:AN35" si="11">SUM(W5*AF5)</f>
        <v>4786.875</v>
      </c>
      <c r="AO5" s="81">
        <f t="shared" ref="AO5:AO35" si="12">SUM(AH5:AN5)</f>
        <v>30871.875</v>
      </c>
      <c r="AP5" s="81">
        <f t="shared" ref="AP5:AP35" si="13">+AO5-AN5</f>
        <v>26085</v>
      </c>
      <c r="AQ5" s="83">
        <f t="shared" ref="AQ5:AQ35" si="14">IF((AO5-AI5-AN5)&gt;=15000,15000,(AO5-AI5-AN5))</f>
        <v>15000</v>
      </c>
      <c r="AR5" s="72">
        <f t="shared" ref="AR5:AR35" si="15">IF(AG5&gt;21000,0,IF(((AO5)*90/100)&gt;21000,21000,((AO5)*90/100)))</f>
        <v>0</v>
      </c>
      <c r="AS5" s="72">
        <v>0</v>
      </c>
      <c r="AT5" s="83">
        <f t="shared" ref="AT5:AT35" si="16">AQ5*12%</f>
        <v>1800</v>
      </c>
      <c r="AU5" s="177">
        <f>VLOOKUP(D5,'[1]work-sAl'!$B$2:$Z$70,25,0)</f>
        <v>1800</v>
      </c>
      <c r="AV5" s="83">
        <f t="shared" ref="AV5:AV35" si="17">AR5*0.75%</f>
        <v>0</v>
      </c>
      <c r="AW5" s="177">
        <f>VLOOKUP(D5,'[1]work-sAl'!$B$2:$AA$70,26,0)</f>
        <v>0</v>
      </c>
      <c r="AX5" s="81">
        <v>275</v>
      </c>
      <c r="AY5" s="81">
        <v>7000</v>
      </c>
      <c r="AZ5" s="81">
        <v>0</v>
      </c>
      <c r="BA5" s="81">
        <v>0</v>
      </c>
      <c r="BB5" s="81">
        <f t="shared" ref="BB5:BB35" si="18">SUM(AT5:BA5)</f>
        <v>10875</v>
      </c>
      <c r="BC5" s="81">
        <f t="shared" ref="BC5:BC35" si="19">+AO5-BB5+AS5</f>
        <v>19996.875</v>
      </c>
      <c r="BD5" s="84"/>
      <c r="BE5" s="81">
        <v>8000</v>
      </c>
      <c r="BF5" s="85">
        <v>895000</v>
      </c>
      <c r="BG5" s="80">
        <f t="shared" ref="BG5:BG35" si="20">BE5+BF5</f>
        <v>903000</v>
      </c>
      <c r="BH5" s="86">
        <f t="shared" ref="BH5:BH35" si="21">BG5-AY5</f>
        <v>896000</v>
      </c>
    </row>
    <row r="6" spans="2:60" ht="36.200000000000003" customHeight="1" x14ac:dyDescent="0.3">
      <c r="B6" s="87">
        <v>2</v>
      </c>
      <c r="C6" s="88" t="s">
        <v>39</v>
      </c>
      <c r="D6" s="73">
        <v>10005</v>
      </c>
      <c r="E6" s="89" t="s">
        <v>43</v>
      </c>
      <c r="F6" s="72">
        <v>100152884874</v>
      </c>
      <c r="G6" s="72">
        <v>0</v>
      </c>
      <c r="H6" s="75" t="s">
        <v>135</v>
      </c>
      <c r="I6" s="76"/>
      <c r="J6" s="76" t="s">
        <v>240</v>
      </c>
      <c r="K6" s="77" t="s">
        <v>86</v>
      </c>
      <c r="L6" s="78">
        <v>38240</v>
      </c>
      <c r="M6" s="89"/>
      <c r="N6" s="74">
        <v>46021</v>
      </c>
      <c r="O6" s="74" t="str">
        <f t="shared" si="0"/>
        <v>21 years,3 months</v>
      </c>
      <c r="P6" s="79">
        <v>17</v>
      </c>
      <c r="Q6" s="79">
        <v>0</v>
      </c>
      <c r="R6" s="79">
        <f>VLOOKUP(D6,'[1]work-sAl'!$B$2:$P$39,15,0)</f>
        <v>2</v>
      </c>
      <c r="S6" s="79">
        <v>0</v>
      </c>
      <c r="T6" s="79">
        <v>0</v>
      </c>
      <c r="U6" s="79">
        <f t="shared" ref="U6:U69" si="22">SUM(P6:T6)</f>
        <v>19</v>
      </c>
      <c r="V6" s="79">
        <v>50.5</v>
      </c>
      <c r="W6" s="90">
        <f t="shared" si="1"/>
        <v>50</v>
      </c>
      <c r="X6" s="88">
        <f t="shared" si="2"/>
        <v>0.5</v>
      </c>
      <c r="Y6" s="90">
        <f t="shared" si="3"/>
        <v>25</v>
      </c>
      <c r="Z6" s="79">
        <v>964</v>
      </c>
      <c r="AA6" s="81">
        <f t="shared" si="4"/>
        <v>12532</v>
      </c>
      <c r="AB6" s="81">
        <f t="shared" si="5"/>
        <v>5012.8</v>
      </c>
      <c r="AC6" s="81">
        <f t="shared" si="6"/>
        <v>2506.4</v>
      </c>
      <c r="AD6" s="81">
        <f t="shared" si="7"/>
        <v>2506.4</v>
      </c>
      <c r="AE6" s="81">
        <f t="shared" si="8"/>
        <v>2506.4</v>
      </c>
      <c r="AF6" s="82">
        <f t="shared" si="9"/>
        <v>120.5</v>
      </c>
      <c r="AG6" s="81">
        <f t="shared" ref="AG6:AG69" si="23">Z6*26</f>
        <v>25064</v>
      </c>
      <c r="AH6" s="72">
        <f t="shared" ref="AH6:AH69" si="24">+AA6/26*U6</f>
        <v>9158</v>
      </c>
      <c r="AI6" s="72">
        <f t="shared" ref="AI6:AI69" si="25">+AB6/26*U6</f>
        <v>3663.2000000000003</v>
      </c>
      <c r="AJ6" s="72">
        <f t="shared" ref="AJ6:AJ69" si="26">+AC6/26*U6</f>
        <v>1831.6000000000001</v>
      </c>
      <c r="AK6" s="72">
        <f t="shared" ref="AK6:AK69" si="27">+AD6/26*U6</f>
        <v>1831.6000000000001</v>
      </c>
      <c r="AL6" s="72">
        <f t="shared" ref="AL6:AL69" si="28">+AE6/26*U6</f>
        <v>1831.6000000000001</v>
      </c>
      <c r="AM6" s="81">
        <f t="shared" ref="AM6:AM68" si="29">SUM(X6*AF6)</f>
        <v>60.25</v>
      </c>
      <c r="AN6" s="81">
        <f t="shared" si="11"/>
        <v>6025</v>
      </c>
      <c r="AO6" s="81">
        <f t="shared" si="12"/>
        <v>24401.25</v>
      </c>
      <c r="AP6" s="81">
        <f t="shared" si="13"/>
        <v>18376.25</v>
      </c>
      <c r="AQ6" s="83">
        <f t="shared" si="14"/>
        <v>14713.05</v>
      </c>
      <c r="AR6" s="72">
        <f t="shared" si="15"/>
        <v>0</v>
      </c>
      <c r="AS6" s="72">
        <v>0</v>
      </c>
      <c r="AT6" s="83">
        <f t="shared" si="16"/>
        <v>1765.5659999999998</v>
      </c>
      <c r="AU6" s="177">
        <f>VLOOKUP(D6,'[1]work-sAl'!$B$2:$Z$70,25,0)</f>
        <v>1800</v>
      </c>
      <c r="AV6" s="83">
        <f t="shared" si="17"/>
        <v>0</v>
      </c>
      <c r="AW6" s="177">
        <f>VLOOKUP(D6,'[1]work-sAl'!$B$2:$AA$70,26,0)</f>
        <v>0</v>
      </c>
      <c r="AX6" s="81">
        <v>247</v>
      </c>
      <c r="AY6" s="81">
        <v>1000</v>
      </c>
      <c r="AZ6" s="81">
        <v>0</v>
      </c>
      <c r="BA6" s="81">
        <v>0</v>
      </c>
      <c r="BB6" s="81">
        <f t="shared" si="18"/>
        <v>4812.5659999999998</v>
      </c>
      <c r="BC6" s="81">
        <f t="shared" si="19"/>
        <v>19588.684000000001</v>
      </c>
      <c r="BD6" s="91"/>
      <c r="BE6" s="81">
        <v>0</v>
      </c>
      <c r="BF6" s="85">
        <v>4500</v>
      </c>
      <c r="BG6" s="80">
        <f t="shared" si="20"/>
        <v>4500</v>
      </c>
      <c r="BH6" s="86">
        <f t="shared" si="21"/>
        <v>3500</v>
      </c>
    </row>
    <row r="7" spans="2:60" ht="36.200000000000003" customHeight="1" x14ac:dyDescent="0.3">
      <c r="B7" s="71">
        <v>3</v>
      </c>
      <c r="C7" s="88" t="s">
        <v>40</v>
      </c>
      <c r="D7" s="73">
        <v>10006</v>
      </c>
      <c r="E7" s="89" t="s">
        <v>43</v>
      </c>
      <c r="F7" s="72">
        <v>100328807756</v>
      </c>
      <c r="G7" s="72">
        <v>0</v>
      </c>
      <c r="H7" s="75" t="s">
        <v>136</v>
      </c>
      <c r="I7" s="76"/>
      <c r="J7" s="76" t="s">
        <v>240</v>
      </c>
      <c r="K7" s="77" t="s">
        <v>86</v>
      </c>
      <c r="L7" s="78">
        <v>38250</v>
      </c>
      <c r="M7" s="89"/>
      <c r="N7" s="74">
        <v>46021</v>
      </c>
      <c r="O7" s="74" t="str">
        <f t="shared" si="0"/>
        <v>21 years,3 months</v>
      </c>
      <c r="P7" s="79">
        <v>23</v>
      </c>
      <c r="Q7" s="79">
        <v>0</v>
      </c>
      <c r="R7" s="79">
        <f>VLOOKUP(D7,'[1]work-sAl'!$B$2:$P$39,15,0)</f>
        <v>1</v>
      </c>
      <c r="S7" s="79">
        <v>0</v>
      </c>
      <c r="T7" s="79">
        <v>0</v>
      </c>
      <c r="U7" s="79">
        <f t="shared" si="22"/>
        <v>24</v>
      </c>
      <c r="V7" s="79">
        <v>36.5</v>
      </c>
      <c r="W7" s="88">
        <f t="shared" si="1"/>
        <v>36.5</v>
      </c>
      <c r="X7" s="88">
        <f t="shared" si="2"/>
        <v>0</v>
      </c>
      <c r="Y7" s="88">
        <f t="shared" si="3"/>
        <v>18.25</v>
      </c>
      <c r="Z7" s="79">
        <v>1111</v>
      </c>
      <c r="AA7" s="81">
        <f t="shared" si="4"/>
        <v>14443</v>
      </c>
      <c r="AB7" s="81">
        <f t="shared" si="5"/>
        <v>5777.2000000000007</v>
      </c>
      <c r="AC7" s="81">
        <f t="shared" si="6"/>
        <v>2888.6000000000004</v>
      </c>
      <c r="AD7" s="81">
        <f t="shared" si="7"/>
        <v>2888.6000000000004</v>
      </c>
      <c r="AE7" s="81">
        <f t="shared" si="8"/>
        <v>2888.6000000000004</v>
      </c>
      <c r="AF7" s="82">
        <f t="shared" si="9"/>
        <v>138.875</v>
      </c>
      <c r="AG7" s="81">
        <f t="shared" si="23"/>
        <v>28886</v>
      </c>
      <c r="AH7" s="72">
        <f t="shared" si="24"/>
        <v>13332</v>
      </c>
      <c r="AI7" s="72">
        <f t="shared" si="25"/>
        <v>5332.8</v>
      </c>
      <c r="AJ7" s="72">
        <f t="shared" si="26"/>
        <v>2666.4</v>
      </c>
      <c r="AK7" s="72">
        <f t="shared" si="27"/>
        <v>2666.4</v>
      </c>
      <c r="AL7" s="72">
        <f t="shared" si="28"/>
        <v>2666.4</v>
      </c>
      <c r="AM7" s="81">
        <f t="shared" si="29"/>
        <v>0</v>
      </c>
      <c r="AN7" s="81">
        <f t="shared" si="11"/>
        <v>5068.9375</v>
      </c>
      <c r="AO7" s="81">
        <f t="shared" si="12"/>
        <v>31732.937500000004</v>
      </c>
      <c r="AP7" s="81">
        <f t="shared" si="13"/>
        <v>26664.000000000004</v>
      </c>
      <c r="AQ7" s="83">
        <f t="shared" si="14"/>
        <v>15000</v>
      </c>
      <c r="AR7" s="72">
        <f t="shared" si="15"/>
        <v>0</v>
      </c>
      <c r="AS7" s="72">
        <v>0</v>
      </c>
      <c r="AT7" s="83">
        <f t="shared" si="16"/>
        <v>1800</v>
      </c>
      <c r="AU7" s="177">
        <f>VLOOKUP(D7,'[1]work-sAl'!$B$2:$Z$70,25,0)</f>
        <v>1800</v>
      </c>
      <c r="AV7" s="83">
        <f t="shared" si="17"/>
        <v>0</v>
      </c>
      <c r="AW7" s="177">
        <f>VLOOKUP(D7,'[1]work-sAl'!$B$2:$AA$70,26,0)</f>
        <v>0</v>
      </c>
      <c r="AX7" s="81">
        <v>259</v>
      </c>
      <c r="AY7" s="81">
        <v>3000</v>
      </c>
      <c r="AZ7" s="81">
        <v>0</v>
      </c>
      <c r="BA7" s="81">
        <v>0</v>
      </c>
      <c r="BB7" s="81">
        <f t="shared" si="18"/>
        <v>6859</v>
      </c>
      <c r="BC7" s="81">
        <f t="shared" si="19"/>
        <v>24873.937500000004</v>
      </c>
      <c r="BD7" s="91"/>
      <c r="BE7" s="81">
        <v>0</v>
      </c>
      <c r="BF7" s="85">
        <v>437500</v>
      </c>
      <c r="BG7" s="80">
        <f t="shared" si="20"/>
        <v>437500</v>
      </c>
      <c r="BH7" s="86">
        <f t="shared" si="21"/>
        <v>434500</v>
      </c>
    </row>
    <row r="8" spans="2:60" ht="36.200000000000003" customHeight="1" x14ac:dyDescent="0.3">
      <c r="B8" s="87">
        <v>4</v>
      </c>
      <c r="C8" s="88" t="s">
        <v>41</v>
      </c>
      <c r="D8" s="73">
        <v>10008</v>
      </c>
      <c r="E8" s="89" t="s">
        <v>44</v>
      </c>
      <c r="F8" s="72">
        <v>100075940249</v>
      </c>
      <c r="G8" s="72">
        <v>0</v>
      </c>
      <c r="H8" s="75" t="s">
        <v>137</v>
      </c>
      <c r="I8" s="76"/>
      <c r="J8" s="76" t="s">
        <v>241</v>
      </c>
      <c r="K8" s="77" t="s">
        <v>86</v>
      </c>
      <c r="L8" s="78">
        <v>39058</v>
      </c>
      <c r="M8" s="89">
        <v>45441</v>
      </c>
      <c r="N8" s="74">
        <v>46021</v>
      </c>
      <c r="O8" s="74" t="str">
        <f t="shared" si="0"/>
        <v>19 years,0 months</v>
      </c>
      <c r="P8" s="79">
        <v>25</v>
      </c>
      <c r="Q8" s="79">
        <v>0</v>
      </c>
      <c r="R8" s="79">
        <f>VLOOKUP(D8,'[1]work-sAl'!$B$2:$P$39,15,0)</f>
        <v>2</v>
      </c>
      <c r="S8" s="79">
        <v>0</v>
      </c>
      <c r="T8" s="79">
        <v>0</v>
      </c>
      <c r="U8" s="79">
        <f t="shared" si="22"/>
        <v>27</v>
      </c>
      <c r="V8" s="79">
        <v>61</v>
      </c>
      <c r="W8" s="90">
        <f t="shared" si="1"/>
        <v>50</v>
      </c>
      <c r="X8" s="88">
        <f t="shared" si="2"/>
        <v>11</v>
      </c>
      <c r="Y8" s="90">
        <f t="shared" si="3"/>
        <v>25</v>
      </c>
      <c r="Z8" s="79">
        <v>941</v>
      </c>
      <c r="AA8" s="81">
        <f t="shared" si="4"/>
        <v>12233</v>
      </c>
      <c r="AB8" s="81">
        <f t="shared" si="5"/>
        <v>4893.2</v>
      </c>
      <c r="AC8" s="81">
        <f t="shared" si="6"/>
        <v>2446.6</v>
      </c>
      <c r="AD8" s="81">
        <f t="shared" si="7"/>
        <v>2446.6</v>
      </c>
      <c r="AE8" s="81">
        <f t="shared" si="8"/>
        <v>2446.6</v>
      </c>
      <c r="AF8" s="82">
        <f t="shared" si="9"/>
        <v>117.625</v>
      </c>
      <c r="AG8" s="81">
        <f t="shared" si="23"/>
        <v>24466</v>
      </c>
      <c r="AH8" s="72">
        <f t="shared" si="24"/>
        <v>12703.5</v>
      </c>
      <c r="AI8" s="72">
        <f t="shared" si="25"/>
        <v>5081.3999999999996</v>
      </c>
      <c r="AJ8" s="72">
        <f t="shared" si="26"/>
        <v>2540.6999999999998</v>
      </c>
      <c r="AK8" s="72">
        <f t="shared" si="27"/>
        <v>2540.6999999999998</v>
      </c>
      <c r="AL8" s="72">
        <f t="shared" si="28"/>
        <v>2540.6999999999998</v>
      </c>
      <c r="AM8" s="81">
        <f t="shared" si="29"/>
        <v>1293.875</v>
      </c>
      <c r="AN8" s="81">
        <f t="shared" si="11"/>
        <v>5881.25</v>
      </c>
      <c r="AO8" s="81">
        <f t="shared" si="12"/>
        <v>32582.125000000004</v>
      </c>
      <c r="AP8" s="81">
        <f t="shared" si="13"/>
        <v>26700.875000000004</v>
      </c>
      <c r="AQ8" s="83">
        <f t="shared" si="14"/>
        <v>15000</v>
      </c>
      <c r="AR8" s="72">
        <f t="shared" si="15"/>
        <v>0</v>
      </c>
      <c r="AS8" s="72">
        <v>0</v>
      </c>
      <c r="AT8" s="83">
        <f t="shared" si="16"/>
        <v>1800</v>
      </c>
      <c r="AU8" s="177">
        <f>VLOOKUP(D8,'[1]work-sAl'!$B$2:$Z$70,25,0)</f>
        <v>1800</v>
      </c>
      <c r="AV8" s="83">
        <f t="shared" si="17"/>
        <v>0</v>
      </c>
      <c r="AW8" s="177">
        <f>VLOOKUP(D8,'[1]work-sAl'!$B$2:$AA$70,26,0)</f>
        <v>0</v>
      </c>
      <c r="AX8" s="81">
        <v>0</v>
      </c>
      <c r="AY8" s="81">
        <v>1500</v>
      </c>
      <c r="AZ8" s="81">
        <v>0</v>
      </c>
      <c r="BA8" s="81">
        <v>0</v>
      </c>
      <c r="BB8" s="81">
        <f t="shared" si="18"/>
        <v>5100</v>
      </c>
      <c r="BC8" s="81">
        <f t="shared" si="19"/>
        <v>27482.125000000004</v>
      </c>
      <c r="BD8" s="91"/>
      <c r="BE8" s="81">
        <v>0</v>
      </c>
      <c r="BF8" s="85">
        <v>168000</v>
      </c>
      <c r="BG8" s="80">
        <f t="shared" si="20"/>
        <v>168000</v>
      </c>
      <c r="BH8" s="86">
        <f t="shared" si="21"/>
        <v>166500</v>
      </c>
    </row>
    <row r="9" spans="2:60" ht="36.200000000000003" customHeight="1" x14ac:dyDescent="0.3">
      <c r="B9" s="71">
        <v>5</v>
      </c>
      <c r="C9" s="88"/>
      <c r="D9" s="73">
        <v>10021</v>
      </c>
      <c r="E9" s="89"/>
      <c r="F9" s="72">
        <v>100239714004</v>
      </c>
      <c r="G9" s="72">
        <v>0</v>
      </c>
      <c r="H9" s="75" t="s">
        <v>138</v>
      </c>
      <c r="I9" s="76"/>
      <c r="J9" s="76" t="s">
        <v>241</v>
      </c>
      <c r="K9" s="77" t="s">
        <v>86</v>
      </c>
      <c r="L9" s="78">
        <v>40148</v>
      </c>
      <c r="M9" s="89"/>
      <c r="N9" s="74">
        <v>46021</v>
      </c>
      <c r="O9" s="74" t="str">
        <f t="shared" si="0"/>
        <v>16 years,0 months</v>
      </c>
      <c r="P9" s="79">
        <v>19</v>
      </c>
      <c r="Q9" s="79">
        <v>0</v>
      </c>
      <c r="R9" s="79">
        <f>VLOOKUP(D9,'[1]work-sAl'!$B$2:$P$39,15,0)</f>
        <v>2</v>
      </c>
      <c r="S9" s="79">
        <v>0</v>
      </c>
      <c r="T9" s="79">
        <v>0</v>
      </c>
      <c r="U9" s="79">
        <f t="shared" si="22"/>
        <v>21</v>
      </c>
      <c r="V9" s="79">
        <v>72.5</v>
      </c>
      <c r="W9" s="90">
        <f t="shared" si="1"/>
        <v>50</v>
      </c>
      <c r="X9" s="88">
        <f t="shared" si="2"/>
        <v>22.5</v>
      </c>
      <c r="Y9" s="90">
        <f t="shared" si="3"/>
        <v>25</v>
      </c>
      <c r="Z9" s="79">
        <v>1001</v>
      </c>
      <c r="AA9" s="81">
        <f t="shared" si="4"/>
        <v>13013</v>
      </c>
      <c r="AB9" s="81">
        <f t="shared" si="5"/>
        <v>5205.2000000000007</v>
      </c>
      <c r="AC9" s="81">
        <f t="shared" si="6"/>
        <v>2602.6000000000004</v>
      </c>
      <c r="AD9" s="81">
        <f t="shared" si="7"/>
        <v>2602.6000000000004</v>
      </c>
      <c r="AE9" s="81">
        <f t="shared" si="8"/>
        <v>2602.6000000000004</v>
      </c>
      <c r="AF9" s="82">
        <f t="shared" si="9"/>
        <v>125.125</v>
      </c>
      <c r="AG9" s="81">
        <f t="shared" si="23"/>
        <v>26026</v>
      </c>
      <c r="AH9" s="72">
        <f t="shared" si="24"/>
        <v>10510.5</v>
      </c>
      <c r="AI9" s="72">
        <f t="shared" si="25"/>
        <v>4204.2000000000007</v>
      </c>
      <c r="AJ9" s="72">
        <f t="shared" si="26"/>
        <v>2102.1000000000004</v>
      </c>
      <c r="AK9" s="72">
        <f t="shared" si="27"/>
        <v>2102.1000000000004</v>
      </c>
      <c r="AL9" s="72">
        <f t="shared" si="28"/>
        <v>2102.1000000000004</v>
      </c>
      <c r="AM9" s="81">
        <f t="shared" si="29"/>
        <v>2815.3125</v>
      </c>
      <c r="AN9" s="81">
        <f t="shared" si="11"/>
        <v>6256.25</v>
      </c>
      <c r="AO9" s="81">
        <f t="shared" si="12"/>
        <v>30092.5625</v>
      </c>
      <c r="AP9" s="81">
        <f t="shared" si="13"/>
        <v>23836.3125</v>
      </c>
      <c r="AQ9" s="83">
        <f t="shared" si="14"/>
        <v>15000</v>
      </c>
      <c r="AR9" s="72">
        <f t="shared" si="15"/>
        <v>0</v>
      </c>
      <c r="AS9" s="72">
        <v>0</v>
      </c>
      <c r="AT9" s="83">
        <f t="shared" si="16"/>
        <v>1800</v>
      </c>
      <c r="AU9" s="177">
        <f>VLOOKUP(D9,'[1]work-sAl'!$B$2:$Z$70,25,0)</f>
        <v>1800</v>
      </c>
      <c r="AV9" s="83">
        <f t="shared" si="17"/>
        <v>0</v>
      </c>
      <c r="AW9" s="177">
        <f>VLOOKUP(D9,'[1]work-sAl'!$B$2:$AA$70,26,0)</f>
        <v>0</v>
      </c>
      <c r="AX9" s="81">
        <v>0</v>
      </c>
      <c r="AY9" s="81">
        <v>1500</v>
      </c>
      <c r="AZ9" s="81">
        <v>0</v>
      </c>
      <c r="BA9" s="81">
        <v>0</v>
      </c>
      <c r="BB9" s="81">
        <f t="shared" si="18"/>
        <v>5100</v>
      </c>
      <c r="BC9" s="81">
        <f t="shared" si="19"/>
        <v>24992.5625</v>
      </c>
      <c r="BD9" s="91"/>
      <c r="BE9" s="81">
        <v>0</v>
      </c>
      <c r="BF9" s="85">
        <v>79500</v>
      </c>
      <c r="BG9" s="80">
        <f t="shared" si="20"/>
        <v>79500</v>
      </c>
      <c r="BH9" s="86">
        <f t="shared" si="21"/>
        <v>78000</v>
      </c>
    </row>
    <row r="10" spans="2:60" ht="36.200000000000003" customHeight="1" x14ac:dyDescent="0.3">
      <c r="B10" s="71">
        <v>6</v>
      </c>
      <c r="C10" s="88"/>
      <c r="D10" s="73">
        <v>10025</v>
      </c>
      <c r="E10" s="89"/>
      <c r="F10" s="72">
        <v>100364705074</v>
      </c>
      <c r="G10" s="72">
        <v>5604500479</v>
      </c>
      <c r="H10" s="75" t="s">
        <v>139</v>
      </c>
      <c r="I10" s="76"/>
      <c r="J10" s="76" t="s">
        <v>241</v>
      </c>
      <c r="K10" s="77" t="s">
        <v>86</v>
      </c>
      <c r="L10" s="78">
        <v>40713</v>
      </c>
      <c r="M10" s="89"/>
      <c r="N10" s="74">
        <v>46021</v>
      </c>
      <c r="O10" s="74" t="str">
        <f t="shared" si="0"/>
        <v>14 years,6 months</v>
      </c>
      <c r="P10" s="79">
        <v>4</v>
      </c>
      <c r="Q10" s="79">
        <v>0</v>
      </c>
      <c r="R10" s="79">
        <f>VLOOKUP(D10,'[1]work-sAl'!$B$2:$P$39,15,0)</f>
        <v>0</v>
      </c>
      <c r="S10" s="79">
        <v>0</v>
      </c>
      <c r="T10" s="79">
        <v>0</v>
      </c>
      <c r="U10" s="79">
        <f t="shared" si="22"/>
        <v>4</v>
      </c>
      <c r="V10" s="79">
        <v>6.5</v>
      </c>
      <c r="W10" s="90">
        <f t="shared" si="1"/>
        <v>6.5</v>
      </c>
      <c r="X10" s="88">
        <f t="shared" si="2"/>
        <v>0</v>
      </c>
      <c r="Y10" s="90">
        <f t="shared" si="3"/>
        <v>3.25</v>
      </c>
      <c r="Z10" s="79">
        <v>813</v>
      </c>
      <c r="AA10" s="81">
        <f t="shared" si="4"/>
        <v>10569</v>
      </c>
      <c r="AB10" s="81">
        <f t="shared" si="5"/>
        <v>4227.6000000000004</v>
      </c>
      <c r="AC10" s="81">
        <f t="shared" si="6"/>
        <v>2113.8000000000002</v>
      </c>
      <c r="AD10" s="81">
        <f t="shared" si="7"/>
        <v>2113.8000000000002</v>
      </c>
      <c r="AE10" s="81">
        <f t="shared" si="8"/>
        <v>2113.8000000000002</v>
      </c>
      <c r="AF10" s="82">
        <f t="shared" si="9"/>
        <v>101.625</v>
      </c>
      <c r="AG10" s="81">
        <f t="shared" si="23"/>
        <v>21138</v>
      </c>
      <c r="AH10" s="72">
        <f t="shared" si="24"/>
        <v>1626</v>
      </c>
      <c r="AI10" s="72">
        <f t="shared" si="25"/>
        <v>650.40000000000009</v>
      </c>
      <c r="AJ10" s="72">
        <f t="shared" si="26"/>
        <v>325.20000000000005</v>
      </c>
      <c r="AK10" s="72">
        <f t="shared" si="27"/>
        <v>325.20000000000005</v>
      </c>
      <c r="AL10" s="72">
        <f t="shared" si="28"/>
        <v>325.20000000000005</v>
      </c>
      <c r="AM10" s="81">
        <f t="shared" si="29"/>
        <v>0</v>
      </c>
      <c r="AN10" s="81">
        <f t="shared" si="11"/>
        <v>660.5625</v>
      </c>
      <c r="AO10" s="81">
        <f t="shared" si="12"/>
        <v>3912.5625</v>
      </c>
      <c r="AP10" s="81">
        <f t="shared" si="13"/>
        <v>3252</v>
      </c>
      <c r="AQ10" s="83">
        <f t="shared" si="14"/>
        <v>2601.6</v>
      </c>
      <c r="AR10" s="72">
        <f t="shared" si="15"/>
        <v>0</v>
      </c>
      <c r="AS10" s="72">
        <v>0</v>
      </c>
      <c r="AT10" s="83">
        <f t="shared" si="16"/>
        <v>312.19199999999995</v>
      </c>
      <c r="AU10" s="177">
        <f>VLOOKUP(D10,'[1]work-sAl'!$B$2:$Z$70,25,0)</f>
        <v>391</v>
      </c>
      <c r="AV10" s="83">
        <f t="shared" si="17"/>
        <v>0</v>
      </c>
      <c r="AW10" s="177">
        <f>VLOOKUP(D10,'[1]work-sAl'!$B$2:$AA$70,26,0)</f>
        <v>0</v>
      </c>
      <c r="AX10" s="81">
        <v>0</v>
      </c>
      <c r="AY10" s="81">
        <v>1500</v>
      </c>
      <c r="AZ10" s="81">
        <v>0</v>
      </c>
      <c r="BA10" s="81">
        <v>0</v>
      </c>
      <c r="BB10" s="81">
        <f t="shared" si="18"/>
        <v>2203.192</v>
      </c>
      <c r="BC10" s="81">
        <f t="shared" si="19"/>
        <v>1709.3705</v>
      </c>
      <c r="BD10" s="91"/>
      <c r="BE10" s="81">
        <v>0</v>
      </c>
      <c r="BF10" s="85">
        <v>165000</v>
      </c>
      <c r="BG10" s="80">
        <f t="shared" si="20"/>
        <v>165000</v>
      </c>
      <c r="BH10" s="86">
        <f t="shared" si="21"/>
        <v>163500</v>
      </c>
    </row>
    <row r="11" spans="2:60" ht="36.200000000000003" customHeight="1" x14ac:dyDescent="0.3">
      <c r="B11" s="87">
        <v>7</v>
      </c>
      <c r="C11" s="88"/>
      <c r="D11" s="73">
        <v>10026</v>
      </c>
      <c r="E11" s="89"/>
      <c r="F11" s="72">
        <v>100391296029</v>
      </c>
      <c r="G11" s="72">
        <v>0</v>
      </c>
      <c r="H11" s="75" t="s">
        <v>140</v>
      </c>
      <c r="I11" s="76"/>
      <c r="J11" s="76" t="s">
        <v>242</v>
      </c>
      <c r="K11" s="77" t="s">
        <v>86</v>
      </c>
      <c r="L11" s="78">
        <v>41071</v>
      </c>
      <c r="M11" s="89"/>
      <c r="N11" s="74">
        <v>46021</v>
      </c>
      <c r="O11" s="74" t="str">
        <f t="shared" si="0"/>
        <v>13 years,6 months</v>
      </c>
      <c r="P11" s="79">
        <v>24</v>
      </c>
      <c r="Q11" s="79">
        <v>0</v>
      </c>
      <c r="R11" s="79">
        <f>VLOOKUP(D11,'[1]work-sAl'!$B$2:$P$39,15,0)</f>
        <v>2</v>
      </c>
      <c r="S11" s="79">
        <v>0</v>
      </c>
      <c r="T11" s="79">
        <v>0</v>
      </c>
      <c r="U11" s="79">
        <f t="shared" si="22"/>
        <v>26</v>
      </c>
      <c r="V11" s="79">
        <v>65</v>
      </c>
      <c r="W11" s="90">
        <f t="shared" si="1"/>
        <v>50</v>
      </c>
      <c r="X11" s="88">
        <f t="shared" si="2"/>
        <v>15</v>
      </c>
      <c r="Y11" s="90">
        <f t="shared" si="3"/>
        <v>25</v>
      </c>
      <c r="Z11" s="79">
        <v>1130</v>
      </c>
      <c r="AA11" s="81">
        <f t="shared" si="4"/>
        <v>14690</v>
      </c>
      <c r="AB11" s="81">
        <f t="shared" si="5"/>
        <v>5876</v>
      </c>
      <c r="AC11" s="81">
        <f t="shared" si="6"/>
        <v>2938</v>
      </c>
      <c r="AD11" s="81">
        <f t="shared" si="7"/>
        <v>2938</v>
      </c>
      <c r="AE11" s="81">
        <f t="shared" si="8"/>
        <v>2938</v>
      </c>
      <c r="AF11" s="82">
        <f t="shared" si="9"/>
        <v>141.25</v>
      </c>
      <c r="AG11" s="81">
        <f t="shared" si="23"/>
        <v>29380</v>
      </c>
      <c r="AH11" s="72">
        <f t="shared" si="24"/>
        <v>14690</v>
      </c>
      <c r="AI11" s="72">
        <f t="shared" si="25"/>
        <v>5876</v>
      </c>
      <c r="AJ11" s="72">
        <f t="shared" si="26"/>
        <v>2938</v>
      </c>
      <c r="AK11" s="72">
        <f t="shared" si="27"/>
        <v>2938</v>
      </c>
      <c r="AL11" s="72">
        <f t="shared" si="28"/>
        <v>2938</v>
      </c>
      <c r="AM11" s="81">
        <f t="shared" si="29"/>
        <v>2118.75</v>
      </c>
      <c r="AN11" s="81">
        <f t="shared" si="11"/>
        <v>7062.5</v>
      </c>
      <c r="AO11" s="81">
        <f t="shared" si="12"/>
        <v>38561.25</v>
      </c>
      <c r="AP11" s="81">
        <f t="shared" si="13"/>
        <v>31498.75</v>
      </c>
      <c r="AQ11" s="83">
        <f t="shared" si="14"/>
        <v>15000</v>
      </c>
      <c r="AR11" s="72">
        <f t="shared" si="15"/>
        <v>0</v>
      </c>
      <c r="AS11" s="72">
        <v>0</v>
      </c>
      <c r="AT11" s="83">
        <f t="shared" si="16"/>
        <v>1800</v>
      </c>
      <c r="AU11" s="177">
        <f>VLOOKUP(D11,'[1]work-sAl'!$B$2:$Z$70,25,0)</f>
        <v>1800</v>
      </c>
      <c r="AV11" s="83">
        <f t="shared" si="17"/>
        <v>0</v>
      </c>
      <c r="AW11" s="177">
        <f>VLOOKUP(D11,'[1]work-sAl'!$B$2:$AA$70,26,0)</f>
        <v>0</v>
      </c>
      <c r="AX11" s="81">
        <v>0</v>
      </c>
      <c r="AY11" s="81">
        <v>2500</v>
      </c>
      <c r="AZ11" s="81">
        <v>0</v>
      </c>
      <c r="BA11" s="81">
        <v>0</v>
      </c>
      <c r="BB11" s="81">
        <f t="shared" si="18"/>
        <v>6100</v>
      </c>
      <c r="BC11" s="81">
        <f t="shared" si="19"/>
        <v>32461.25</v>
      </c>
      <c r="BD11" s="91"/>
      <c r="BE11" s="81">
        <v>0</v>
      </c>
      <c r="BF11" s="85">
        <v>576500</v>
      </c>
      <c r="BG11" s="80">
        <f t="shared" si="20"/>
        <v>576500</v>
      </c>
      <c r="BH11" s="86">
        <f t="shared" si="21"/>
        <v>574000</v>
      </c>
    </row>
    <row r="12" spans="2:60" ht="36.200000000000003" customHeight="1" x14ac:dyDescent="0.3">
      <c r="B12" s="71">
        <v>8</v>
      </c>
      <c r="C12" s="88"/>
      <c r="D12" s="73">
        <v>10027</v>
      </c>
      <c r="E12" s="89"/>
      <c r="F12" s="72">
        <v>100141663180</v>
      </c>
      <c r="G12" s="72">
        <v>5605021917</v>
      </c>
      <c r="H12" s="75" t="s">
        <v>141</v>
      </c>
      <c r="I12" s="76"/>
      <c r="J12" s="76" t="s">
        <v>241</v>
      </c>
      <c r="K12" s="77" t="s">
        <v>86</v>
      </c>
      <c r="L12" s="78">
        <v>41085</v>
      </c>
      <c r="M12" s="89"/>
      <c r="N12" s="74">
        <v>46021</v>
      </c>
      <c r="O12" s="74" t="str">
        <f t="shared" si="0"/>
        <v>13 years,6 months</v>
      </c>
      <c r="P12" s="79">
        <v>25</v>
      </c>
      <c r="Q12" s="79">
        <v>0</v>
      </c>
      <c r="R12" s="79">
        <f>VLOOKUP(D12,'[1]work-sAl'!$B$2:$P$39,15,0)</f>
        <v>2</v>
      </c>
      <c r="S12" s="79">
        <v>0</v>
      </c>
      <c r="T12" s="79">
        <v>0</v>
      </c>
      <c r="U12" s="79">
        <f t="shared" si="22"/>
        <v>27</v>
      </c>
      <c r="V12" s="79">
        <v>102</v>
      </c>
      <c r="W12" s="90">
        <f t="shared" si="1"/>
        <v>50</v>
      </c>
      <c r="X12" s="88">
        <f t="shared" si="2"/>
        <v>52</v>
      </c>
      <c r="Y12" s="90">
        <f t="shared" si="3"/>
        <v>25</v>
      </c>
      <c r="Z12" s="79">
        <v>864</v>
      </c>
      <c r="AA12" s="81">
        <f t="shared" si="4"/>
        <v>11232</v>
      </c>
      <c r="AB12" s="81">
        <f t="shared" si="5"/>
        <v>4492.8</v>
      </c>
      <c r="AC12" s="81">
        <f t="shared" si="6"/>
        <v>2246.4</v>
      </c>
      <c r="AD12" s="81">
        <f t="shared" si="7"/>
        <v>2246.4</v>
      </c>
      <c r="AE12" s="81">
        <f t="shared" si="8"/>
        <v>2246.4</v>
      </c>
      <c r="AF12" s="82">
        <f t="shared" si="9"/>
        <v>108</v>
      </c>
      <c r="AG12" s="81">
        <f t="shared" si="23"/>
        <v>22464</v>
      </c>
      <c r="AH12" s="72">
        <f t="shared" si="24"/>
        <v>11664</v>
      </c>
      <c r="AI12" s="72">
        <f t="shared" si="25"/>
        <v>4665.6000000000004</v>
      </c>
      <c r="AJ12" s="72">
        <f t="shared" si="26"/>
        <v>2332.8000000000002</v>
      </c>
      <c r="AK12" s="72">
        <f t="shared" si="27"/>
        <v>2332.8000000000002</v>
      </c>
      <c r="AL12" s="72">
        <f t="shared" si="28"/>
        <v>2332.8000000000002</v>
      </c>
      <c r="AM12" s="81">
        <f t="shared" si="29"/>
        <v>5616</v>
      </c>
      <c r="AN12" s="81">
        <f t="shared" si="11"/>
        <v>5400</v>
      </c>
      <c r="AO12" s="81">
        <f t="shared" si="12"/>
        <v>34344</v>
      </c>
      <c r="AP12" s="81">
        <f t="shared" si="13"/>
        <v>28944</v>
      </c>
      <c r="AQ12" s="83">
        <f t="shared" si="14"/>
        <v>15000</v>
      </c>
      <c r="AR12" s="72">
        <f t="shared" si="15"/>
        <v>0</v>
      </c>
      <c r="AS12" s="72">
        <v>0</v>
      </c>
      <c r="AT12" s="83">
        <f t="shared" si="16"/>
        <v>1800</v>
      </c>
      <c r="AU12" s="177">
        <f>VLOOKUP(D12,'[1]work-sAl'!$B$2:$Z$70,25,0)</f>
        <v>1800</v>
      </c>
      <c r="AV12" s="83">
        <f t="shared" si="17"/>
        <v>0</v>
      </c>
      <c r="AW12" s="177">
        <f>VLOOKUP(D12,'[1]work-sAl'!$B$2:$AA$70,26,0)</f>
        <v>0</v>
      </c>
      <c r="AX12" s="81">
        <v>0</v>
      </c>
      <c r="AY12" s="81">
        <v>1000</v>
      </c>
      <c r="AZ12" s="81">
        <v>0</v>
      </c>
      <c r="BA12" s="81">
        <v>0</v>
      </c>
      <c r="BB12" s="81">
        <f t="shared" si="18"/>
        <v>4600</v>
      </c>
      <c r="BC12" s="81">
        <f t="shared" si="19"/>
        <v>29744</v>
      </c>
      <c r="BD12" s="91"/>
      <c r="BE12" s="81">
        <v>0</v>
      </c>
      <c r="BF12" s="85">
        <v>134000</v>
      </c>
      <c r="BG12" s="80">
        <f t="shared" si="20"/>
        <v>134000</v>
      </c>
      <c r="BH12" s="86">
        <f t="shared" si="21"/>
        <v>133000</v>
      </c>
    </row>
    <row r="13" spans="2:60" ht="36.200000000000003" customHeight="1" x14ac:dyDescent="0.3">
      <c r="B13" s="87">
        <v>9</v>
      </c>
      <c r="C13" s="88"/>
      <c r="D13" s="73">
        <v>10028</v>
      </c>
      <c r="E13" s="89"/>
      <c r="F13" s="72">
        <v>100335442566</v>
      </c>
      <c r="G13" s="72">
        <v>0</v>
      </c>
      <c r="H13" s="75" t="s">
        <v>142</v>
      </c>
      <c r="I13" s="76"/>
      <c r="J13" s="76" t="s">
        <v>242</v>
      </c>
      <c r="K13" s="77" t="s">
        <v>86</v>
      </c>
      <c r="L13" s="78">
        <v>41085</v>
      </c>
      <c r="M13" s="89"/>
      <c r="N13" s="74">
        <v>46021</v>
      </c>
      <c r="O13" s="74" t="str">
        <f t="shared" si="0"/>
        <v>13 years,6 months</v>
      </c>
      <c r="P13" s="79">
        <v>26</v>
      </c>
      <c r="Q13" s="79">
        <v>0</v>
      </c>
      <c r="R13" s="79">
        <f>VLOOKUP(D13,'[1]work-sAl'!$B$2:$P$39,15,0)</f>
        <v>1</v>
      </c>
      <c r="S13" s="79">
        <v>0</v>
      </c>
      <c r="T13" s="79">
        <v>0</v>
      </c>
      <c r="U13" s="79">
        <f t="shared" si="22"/>
        <v>27</v>
      </c>
      <c r="V13" s="79">
        <v>78</v>
      </c>
      <c r="W13" s="90">
        <f t="shared" si="1"/>
        <v>50</v>
      </c>
      <c r="X13" s="88">
        <f t="shared" si="2"/>
        <v>28</v>
      </c>
      <c r="Y13" s="90">
        <f t="shared" si="3"/>
        <v>25</v>
      </c>
      <c r="Z13" s="79">
        <v>1100</v>
      </c>
      <c r="AA13" s="81">
        <f t="shared" si="4"/>
        <v>14300</v>
      </c>
      <c r="AB13" s="81">
        <f t="shared" si="5"/>
        <v>5720</v>
      </c>
      <c r="AC13" s="81">
        <f t="shared" si="6"/>
        <v>2860</v>
      </c>
      <c r="AD13" s="81">
        <f t="shared" si="7"/>
        <v>2860</v>
      </c>
      <c r="AE13" s="81">
        <f t="shared" si="8"/>
        <v>2860</v>
      </c>
      <c r="AF13" s="82">
        <f t="shared" si="9"/>
        <v>137.5</v>
      </c>
      <c r="AG13" s="81">
        <f t="shared" si="23"/>
        <v>28600</v>
      </c>
      <c r="AH13" s="72">
        <f t="shared" si="24"/>
        <v>14850</v>
      </c>
      <c r="AI13" s="72">
        <f t="shared" si="25"/>
        <v>5940</v>
      </c>
      <c r="AJ13" s="72">
        <f t="shared" si="26"/>
        <v>2970</v>
      </c>
      <c r="AK13" s="72">
        <f t="shared" si="27"/>
        <v>2970</v>
      </c>
      <c r="AL13" s="72">
        <f t="shared" si="28"/>
        <v>2970</v>
      </c>
      <c r="AM13" s="81">
        <f t="shared" si="29"/>
        <v>3850</v>
      </c>
      <c r="AN13" s="81">
        <f t="shared" si="11"/>
        <v>6875</v>
      </c>
      <c r="AO13" s="81">
        <f t="shared" si="12"/>
        <v>40425</v>
      </c>
      <c r="AP13" s="81">
        <f t="shared" si="13"/>
        <v>33550</v>
      </c>
      <c r="AQ13" s="83">
        <f t="shared" si="14"/>
        <v>15000</v>
      </c>
      <c r="AR13" s="72">
        <f t="shared" si="15"/>
        <v>0</v>
      </c>
      <c r="AS13" s="72">
        <v>0</v>
      </c>
      <c r="AT13" s="83">
        <f t="shared" si="16"/>
        <v>1800</v>
      </c>
      <c r="AU13" s="177">
        <f>VLOOKUP(D13,'[1]work-sAl'!$B$2:$Z$70,25,0)</f>
        <v>1800</v>
      </c>
      <c r="AV13" s="83">
        <f t="shared" si="17"/>
        <v>0</v>
      </c>
      <c r="AW13" s="177">
        <f>VLOOKUP(D13,'[1]work-sAl'!$B$2:$AA$70,26,0)</f>
        <v>0</v>
      </c>
      <c r="AX13" s="81">
        <v>0</v>
      </c>
      <c r="AY13" s="81">
        <v>2000</v>
      </c>
      <c r="AZ13" s="81">
        <v>0</v>
      </c>
      <c r="BA13" s="81">
        <v>0</v>
      </c>
      <c r="BB13" s="81">
        <f t="shared" si="18"/>
        <v>5600</v>
      </c>
      <c r="BC13" s="81">
        <f t="shared" si="19"/>
        <v>34825</v>
      </c>
      <c r="BD13" s="91"/>
      <c r="BE13" s="81">
        <v>0</v>
      </c>
      <c r="BF13" s="85">
        <v>42000</v>
      </c>
      <c r="BG13" s="80">
        <f t="shared" si="20"/>
        <v>42000</v>
      </c>
      <c r="BH13" s="86">
        <f t="shared" si="21"/>
        <v>40000</v>
      </c>
    </row>
    <row r="14" spans="2:60" ht="36.200000000000003" customHeight="1" x14ac:dyDescent="0.3">
      <c r="B14" s="71">
        <v>10</v>
      </c>
      <c r="C14" s="88"/>
      <c r="D14" s="73">
        <v>10029</v>
      </c>
      <c r="E14" s="89"/>
      <c r="F14" s="72">
        <v>100218317236</v>
      </c>
      <c r="G14" s="72">
        <v>5605022174</v>
      </c>
      <c r="H14" s="75" t="s">
        <v>143</v>
      </c>
      <c r="I14" s="76"/>
      <c r="J14" s="76" t="s">
        <v>239</v>
      </c>
      <c r="K14" s="77" t="s">
        <v>86</v>
      </c>
      <c r="L14" s="78">
        <v>41306</v>
      </c>
      <c r="M14" s="89"/>
      <c r="N14" s="74">
        <v>46021</v>
      </c>
      <c r="O14" s="74" t="str">
        <f t="shared" si="0"/>
        <v>12 years,10 months</v>
      </c>
      <c r="P14" s="79">
        <v>22.5</v>
      </c>
      <c r="Q14" s="79">
        <v>0</v>
      </c>
      <c r="R14" s="79">
        <f>VLOOKUP(D14,'[1]work-sAl'!$B$2:$P$39,15,0)</f>
        <v>2</v>
      </c>
      <c r="S14" s="79">
        <v>0</v>
      </c>
      <c r="T14" s="79">
        <v>0</v>
      </c>
      <c r="U14" s="79">
        <f t="shared" si="22"/>
        <v>24.5</v>
      </c>
      <c r="V14" s="79">
        <v>50.5</v>
      </c>
      <c r="W14" s="90">
        <f t="shared" si="1"/>
        <v>50</v>
      </c>
      <c r="X14" s="88">
        <f t="shared" si="2"/>
        <v>0.5</v>
      </c>
      <c r="Y14" s="90">
        <f t="shared" si="3"/>
        <v>25</v>
      </c>
      <c r="Z14" s="79">
        <v>755</v>
      </c>
      <c r="AA14" s="81">
        <f t="shared" si="4"/>
        <v>9815</v>
      </c>
      <c r="AB14" s="81">
        <f t="shared" si="5"/>
        <v>3926</v>
      </c>
      <c r="AC14" s="81">
        <f t="shared" si="6"/>
        <v>1963</v>
      </c>
      <c r="AD14" s="81">
        <f t="shared" si="7"/>
        <v>1963</v>
      </c>
      <c r="AE14" s="81">
        <f t="shared" si="8"/>
        <v>1963</v>
      </c>
      <c r="AF14" s="82">
        <f t="shared" si="9"/>
        <v>94.375</v>
      </c>
      <c r="AG14" s="81">
        <f t="shared" si="23"/>
        <v>19630</v>
      </c>
      <c r="AH14" s="72">
        <f t="shared" si="24"/>
        <v>9248.75</v>
      </c>
      <c r="AI14" s="72">
        <f t="shared" si="25"/>
        <v>3699.5</v>
      </c>
      <c r="AJ14" s="72">
        <f t="shared" si="26"/>
        <v>1849.75</v>
      </c>
      <c r="AK14" s="72">
        <f t="shared" si="27"/>
        <v>1849.75</v>
      </c>
      <c r="AL14" s="72">
        <f t="shared" si="28"/>
        <v>1849.75</v>
      </c>
      <c r="AM14" s="81">
        <f t="shared" si="29"/>
        <v>47.1875</v>
      </c>
      <c r="AN14" s="81">
        <f t="shared" si="11"/>
        <v>4718.75</v>
      </c>
      <c r="AO14" s="81">
        <f t="shared" si="12"/>
        <v>23263.4375</v>
      </c>
      <c r="AP14" s="81">
        <f t="shared" si="13"/>
        <v>18544.6875</v>
      </c>
      <c r="AQ14" s="83">
        <f t="shared" si="14"/>
        <v>14845.1875</v>
      </c>
      <c r="AR14" s="72">
        <f t="shared" si="15"/>
        <v>20937.09375</v>
      </c>
      <c r="AS14" s="72">
        <v>0</v>
      </c>
      <c r="AT14" s="83">
        <f t="shared" si="16"/>
        <v>1781.4224999999999</v>
      </c>
      <c r="AU14" s="177">
        <f>VLOOKUP(D14,'[1]work-sAl'!$B$2:$Z$70,25,0)</f>
        <v>1800</v>
      </c>
      <c r="AV14" s="83">
        <f t="shared" si="17"/>
        <v>157.028203125</v>
      </c>
      <c r="AW14" s="177">
        <f>VLOOKUP(D14,'[1]work-sAl'!$B$2:$AA$70,26,0)</f>
        <v>166</v>
      </c>
      <c r="AX14" s="81">
        <v>0</v>
      </c>
      <c r="AY14" s="81">
        <v>2000</v>
      </c>
      <c r="AZ14" s="81">
        <v>0</v>
      </c>
      <c r="BA14" s="81">
        <v>0</v>
      </c>
      <c r="BB14" s="81">
        <f t="shared" si="18"/>
        <v>5904.4507031249996</v>
      </c>
      <c r="BC14" s="81">
        <f t="shared" si="19"/>
        <v>17358.986796875</v>
      </c>
      <c r="BD14" s="92"/>
      <c r="BE14" s="81">
        <v>0</v>
      </c>
      <c r="BF14" s="85">
        <v>73000</v>
      </c>
      <c r="BG14" s="80">
        <f t="shared" si="20"/>
        <v>73000</v>
      </c>
      <c r="BH14" s="86">
        <f t="shared" si="21"/>
        <v>71000</v>
      </c>
    </row>
    <row r="15" spans="2:60" ht="36.200000000000003" customHeight="1" x14ac:dyDescent="0.3">
      <c r="B15" s="71">
        <v>11</v>
      </c>
      <c r="C15" s="88"/>
      <c r="D15" s="73">
        <v>10031</v>
      </c>
      <c r="E15" s="89"/>
      <c r="F15" s="72">
        <v>101186527079</v>
      </c>
      <c r="G15" s="72">
        <v>5606997930</v>
      </c>
      <c r="H15" s="75" t="s">
        <v>144</v>
      </c>
      <c r="I15" s="76"/>
      <c r="J15" s="76" t="s">
        <v>240</v>
      </c>
      <c r="K15" s="77" t="s">
        <v>86</v>
      </c>
      <c r="L15" s="78">
        <v>41857</v>
      </c>
      <c r="M15" s="89"/>
      <c r="N15" s="74">
        <v>46021</v>
      </c>
      <c r="O15" s="74" t="str">
        <f t="shared" si="0"/>
        <v>11 years,4 months</v>
      </c>
      <c r="P15" s="79">
        <v>23.5</v>
      </c>
      <c r="Q15" s="79">
        <v>0</v>
      </c>
      <c r="R15" s="79">
        <f>VLOOKUP(D15,'[1]work-sAl'!$B$2:$P$39,15,0)</f>
        <v>2</v>
      </c>
      <c r="S15" s="79">
        <v>0</v>
      </c>
      <c r="T15" s="79">
        <v>0</v>
      </c>
      <c r="U15" s="79">
        <f t="shared" si="22"/>
        <v>25.5</v>
      </c>
      <c r="V15" s="79">
        <v>115.5</v>
      </c>
      <c r="W15" s="90">
        <f t="shared" si="1"/>
        <v>50</v>
      </c>
      <c r="X15" s="88">
        <f t="shared" si="2"/>
        <v>65.5</v>
      </c>
      <c r="Y15" s="90">
        <f t="shared" si="3"/>
        <v>25</v>
      </c>
      <c r="Z15" s="79">
        <v>763</v>
      </c>
      <c r="AA15" s="81">
        <f t="shared" si="4"/>
        <v>9919</v>
      </c>
      <c r="AB15" s="81">
        <f t="shared" si="5"/>
        <v>3967.6000000000004</v>
      </c>
      <c r="AC15" s="81">
        <f t="shared" si="6"/>
        <v>1983.8000000000002</v>
      </c>
      <c r="AD15" s="81">
        <f t="shared" si="7"/>
        <v>1983.8000000000002</v>
      </c>
      <c r="AE15" s="81">
        <f t="shared" si="8"/>
        <v>1983.8000000000002</v>
      </c>
      <c r="AF15" s="82">
        <f t="shared" si="9"/>
        <v>95.375</v>
      </c>
      <c r="AG15" s="81">
        <f t="shared" si="23"/>
        <v>19838</v>
      </c>
      <c r="AH15" s="72">
        <f t="shared" si="24"/>
        <v>9728.25</v>
      </c>
      <c r="AI15" s="72">
        <f t="shared" si="25"/>
        <v>3891.3000000000006</v>
      </c>
      <c r="AJ15" s="72">
        <f t="shared" si="26"/>
        <v>1945.6500000000003</v>
      </c>
      <c r="AK15" s="72">
        <f t="shared" si="27"/>
        <v>1945.6500000000003</v>
      </c>
      <c r="AL15" s="72">
        <f t="shared" si="28"/>
        <v>1945.6500000000003</v>
      </c>
      <c r="AM15" s="81">
        <f t="shared" si="29"/>
        <v>6247.0625</v>
      </c>
      <c r="AN15" s="81">
        <f t="shared" si="11"/>
        <v>4768.75</v>
      </c>
      <c r="AO15" s="81">
        <f t="shared" si="12"/>
        <v>30472.312500000004</v>
      </c>
      <c r="AP15" s="81">
        <f t="shared" si="13"/>
        <v>25703.562500000004</v>
      </c>
      <c r="AQ15" s="83">
        <f t="shared" si="14"/>
        <v>15000</v>
      </c>
      <c r="AR15" s="72">
        <f t="shared" si="15"/>
        <v>21000</v>
      </c>
      <c r="AS15" s="72">
        <v>0</v>
      </c>
      <c r="AT15" s="83">
        <f t="shared" si="16"/>
        <v>1800</v>
      </c>
      <c r="AU15" s="177">
        <f>VLOOKUP(D15,'[1]work-sAl'!$B$2:$Z$70,25,0)</f>
        <v>1800</v>
      </c>
      <c r="AV15" s="83">
        <f t="shared" si="17"/>
        <v>157.5</v>
      </c>
      <c r="AW15" s="177">
        <f>VLOOKUP(D15,'[1]work-sAl'!$B$2:$AA$70,26,0)</f>
        <v>220</v>
      </c>
      <c r="AX15" s="81">
        <v>0</v>
      </c>
      <c r="AY15" s="81">
        <v>0</v>
      </c>
      <c r="AZ15" s="81">
        <v>0</v>
      </c>
      <c r="BA15" s="81">
        <v>0</v>
      </c>
      <c r="BB15" s="81">
        <f t="shared" si="18"/>
        <v>3977.5</v>
      </c>
      <c r="BC15" s="81">
        <f t="shared" si="19"/>
        <v>26494.812500000004</v>
      </c>
      <c r="BD15" s="91"/>
      <c r="BE15" s="81">
        <v>0</v>
      </c>
      <c r="BF15" s="85">
        <v>0</v>
      </c>
      <c r="BG15" s="80">
        <f t="shared" si="20"/>
        <v>0</v>
      </c>
      <c r="BH15" s="86">
        <f t="shared" si="21"/>
        <v>0</v>
      </c>
    </row>
    <row r="16" spans="2:60" ht="36.200000000000003" customHeight="1" x14ac:dyDescent="0.3">
      <c r="B16" s="87">
        <v>12</v>
      </c>
      <c r="C16" s="88"/>
      <c r="D16" s="73">
        <v>10032</v>
      </c>
      <c r="E16" s="89"/>
      <c r="F16" s="72">
        <v>101142682355</v>
      </c>
      <c r="G16" s="72">
        <v>5606888072</v>
      </c>
      <c r="H16" s="75" t="s">
        <v>145</v>
      </c>
      <c r="I16" s="76"/>
      <c r="J16" s="76" t="s">
        <v>239</v>
      </c>
      <c r="K16" s="77" t="s">
        <v>86</v>
      </c>
      <c r="L16" s="78">
        <v>42361</v>
      </c>
      <c r="M16" s="89"/>
      <c r="N16" s="74">
        <v>46021</v>
      </c>
      <c r="O16" s="74" t="str">
        <f t="shared" si="0"/>
        <v>10 years,0 months</v>
      </c>
      <c r="P16" s="79">
        <v>24</v>
      </c>
      <c r="Q16" s="79">
        <v>0</v>
      </c>
      <c r="R16" s="79">
        <f>VLOOKUP(D16,'[1]work-sAl'!$B$2:$P$39,15,0)</f>
        <v>2</v>
      </c>
      <c r="S16" s="79">
        <v>0</v>
      </c>
      <c r="T16" s="79">
        <v>0</v>
      </c>
      <c r="U16" s="79">
        <f t="shared" si="22"/>
        <v>26</v>
      </c>
      <c r="V16" s="79">
        <v>76.5</v>
      </c>
      <c r="W16" s="90">
        <f t="shared" si="1"/>
        <v>50</v>
      </c>
      <c r="X16" s="88">
        <f t="shared" si="2"/>
        <v>26.5</v>
      </c>
      <c r="Y16" s="90">
        <f t="shared" si="3"/>
        <v>25</v>
      </c>
      <c r="Z16" s="79">
        <v>755</v>
      </c>
      <c r="AA16" s="81">
        <f t="shared" si="4"/>
        <v>9815</v>
      </c>
      <c r="AB16" s="81">
        <f t="shared" si="5"/>
        <v>3926</v>
      </c>
      <c r="AC16" s="81">
        <f t="shared" si="6"/>
        <v>1963</v>
      </c>
      <c r="AD16" s="81">
        <f t="shared" si="7"/>
        <v>1963</v>
      </c>
      <c r="AE16" s="81">
        <f t="shared" si="8"/>
        <v>1963</v>
      </c>
      <c r="AF16" s="82">
        <f t="shared" si="9"/>
        <v>94.375</v>
      </c>
      <c r="AG16" s="81">
        <f t="shared" si="23"/>
        <v>19630</v>
      </c>
      <c r="AH16" s="72">
        <f t="shared" si="24"/>
        <v>9815</v>
      </c>
      <c r="AI16" s="72">
        <f t="shared" si="25"/>
        <v>3926</v>
      </c>
      <c r="AJ16" s="72">
        <f t="shared" si="26"/>
        <v>1963</v>
      </c>
      <c r="AK16" s="72">
        <f t="shared" si="27"/>
        <v>1963</v>
      </c>
      <c r="AL16" s="72">
        <f t="shared" si="28"/>
        <v>1963</v>
      </c>
      <c r="AM16" s="81">
        <f t="shared" si="29"/>
        <v>2500.9375</v>
      </c>
      <c r="AN16" s="81">
        <f t="shared" si="11"/>
        <v>4718.75</v>
      </c>
      <c r="AO16" s="81">
        <f t="shared" si="12"/>
        <v>26849.6875</v>
      </c>
      <c r="AP16" s="81">
        <f t="shared" si="13"/>
        <v>22130.9375</v>
      </c>
      <c r="AQ16" s="83">
        <f t="shared" si="14"/>
        <v>15000</v>
      </c>
      <c r="AR16" s="72">
        <f t="shared" si="15"/>
        <v>21000</v>
      </c>
      <c r="AS16" s="72">
        <v>0</v>
      </c>
      <c r="AT16" s="83">
        <f t="shared" si="16"/>
        <v>1800</v>
      </c>
      <c r="AU16" s="177">
        <f>VLOOKUP(D16,'[1]work-sAl'!$B$2:$Z$70,25,0)</f>
        <v>1800</v>
      </c>
      <c r="AV16" s="83">
        <f t="shared" si="17"/>
        <v>157.5</v>
      </c>
      <c r="AW16" s="177">
        <f>VLOOKUP(D16,'[1]work-sAl'!$B$2:$AA$70,26,0)</f>
        <v>191</v>
      </c>
      <c r="AX16" s="81">
        <v>0</v>
      </c>
      <c r="AY16" s="81">
        <v>1000</v>
      </c>
      <c r="AZ16" s="81">
        <v>0</v>
      </c>
      <c r="BA16" s="81">
        <v>0</v>
      </c>
      <c r="BB16" s="81">
        <f t="shared" si="18"/>
        <v>4948.5</v>
      </c>
      <c r="BC16" s="81">
        <f t="shared" si="19"/>
        <v>21901.1875</v>
      </c>
      <c r="BD16" s="92"/>
      <c r="BE16" s="81">
        <v>0</v>
      </c>
      <c r="BF16" s="85">
        <v>165000</v>
      </c>
      <c r="BG16" s="80">
        <f t="shared" si="20"/>
        <v>165000</v>
      </c>
      <c r="BH16" s="86">
        <f t="shared" si="21"/>
        <v>164000</v>
      </c>
    </row>
    <row r="17" spans="2:62" ht="36" customHeight="1" x14ac:dyDescent="0.3">
      <c r="B17" s="71">
        <v>13</v>
      </c>
      <c r="C17" s="88"/>
      <c r="D17" s="73">
        <v>10040</v>
      </c>
      <c r="E17" s="89"/>
      <c r="F17" s="72">
        <v>101167984373</v>
      </c>
      <c r="G17" s="72">
        <v>0</v>
      </c>
      <c r="H17" s="75" t="s">
        <v>146</v>
      </c>
      <c r="I17" s="76"/>
      <c r="J17" s="76" t="s">
        <v>240</v>
      </c>
      <c r="K17" s="77" t="s">
        <v>86</v>
      </c>
      <c r="L17" s="78">
        <v>43045</v>
      </c>
      <c r="M17" s="89"/>
      <c r="N17" s="74">
        <v>46021</v>
      </c>
      <c r="O17" s="74" t="str">
        <f t="shared" si="0"/>
        <v>8 years,1 months</v>
      </c>
      <c r="P17" s="79">
        <v>25</v>
      </c>
      <c r="Q17" s="79">
        <v>0</v>
      </c>
      <c r="R17" s="79">
        <f>VLOOKUP(D17,'[1]work-sAl'!$B$2:$P$39,15,0)</f>
        <v>2</v>
      </c>
      <c r="S17" s="79">
        <v>0</v>
      </c>
      <c r="T17" s="79">
        <v>0</v>
      </c>
      <c r="U17" s="79">
        <f t="shared" si="22"/>
        <v>27</v>
      </c>
      <c r="V17" s="79">
        <v>94.5</v>
      </c>
      <c r="W17" s="90">
        <f t="shared" si="1"/>
        <v>50</v>
      </c>
      <c r="X17" s="88">
        <f t="shared" si="2"/>
        <v>44.5</v>
      </c>
      <c r="Y17" s="90">
        <f t="shared" si="3"/>
        <v>25</v>
      </c>
      <c r="Z17" s="79">
        <v>908</v>
      </c>
      <c r="AA17" s="81">
        <f t="shared" si="4"/>
        <v>11804</v>
      </c>
      <c r="AB17" s="81">
        <f t="shared" si="5"/>
        <v>4721.6000000000004</v>
      </c>
      <c r="AC17" s="81">
        <f t="shared" si="6"/>
        <v>2360.8000000000002</v>
      </c>
      <c r="AD17" s="81">
        <f t="shared" si="7"/>
        <v>2360.8000000000002</v>
      </c>
      <c r="AE17" s="81">
        <f t="shared" si="8"/>
        <v>2360.8000000000002</v>
      </c>
      <c r="AF17" s="82">
        <f t="shared" si="9"/>
        <v>113.5</v>
      </c>
      <c r="AG17" s="81">
        <f t="shared" si="23"/>
        <v>23608</v>
      </c>
      <c r="AH17" s="72">
        <f t="shared" si="24"/>
        <v>12258</v>
      </c>
      <c r="AI17" s="72">
        <f t="shared" si="25"/>
        <v>4903.2000000000007</v>
      </c>
      <c r="AJ17" s="72">
        <f t="shared" si="26"/>
        <v>2451.6000000000004</v>
      </c>
      <c r="AK17" s="72">
        <f t="shared" si="27"/>
        <v>2451.6000000000004</v>
      </c>
      <c r="AL17" s="72">
        <f t="shared" si="28"/>
        <v>2451.6000000000004</v>
      </c>
      <c r="AM17" s="81">
        <f t="shared" si="29"/>
        <v>5050.75</v>
      </c>
      <c r="AN17" s="81">
        <f t="shared" si="11"/>
        <v>5675</v>
      </c>
      <c r="AO17" s="81">
        <f t="shared" si="12"/>
        <v>35241.75</v>
      </c>
      <c r="AP17" s="81">
        <f t="shared" si="13"/>
        <v>29566.75</v>
      </c>
      <c r="AQ17" s="83">
        <f t="shared" si="14"/>
        <v>15000</v>
      </c>
      <c r="AR17" s="72">
        <f t="shared" si="15"/>
        <v>0</v>
      </c>
      <c r="AS17" s="72">
        <v>0</v>
      </c>
      <c r="AT17" s="83">
        <f t="shared" si="16"/>
        <v>1800</v>
      </c>
      <c r="AU17" s="177">
        <f>VLOOKUP(D17,'[1]work-sAl'!$B$2:$Z$70,25,0)</f>
        <v>1800</v>
      </c>
      <c r="AV17" s="83">
        <f t="shared" si="17"/>
        <v>0</v>
      </c>
      <c r="AW17" s="177">
        <f>VLOOKUP(D17,'[1]work-sAl'!$B$2:$AA$70,26,0)</f>
        <v>0</v>
      </c>
      <c r="AX17" s="81">
        <v>0</v>
      </c>
      <c r="AY17" s="81">
        <v>0</v>
      </c>
      <c r="AZ17" s="81">
        <v>0</v>
      </c>
      <c r="BA17" s="81">
        <v>0</v>
      </c>
      <c r="BB17" s="81">
        <f t="shared" si="18"/>
        <v>3600</v>
      </c>
      <c r="BC17" s="81">
        <f t="shared" si="19"/>
        <v>31641.75</v>
      </c>
      <c r="BD17" s="92"/>
      <c r="BE17" s="81">
        <v>0</v>
      </c>
      <c r="BF17" s="85">
        <v>0</v>
      </c>
      <c r="BG17" s="80">
        <f t="shared" si="20"/>
        <v>0</v>
      </c>
      <c r="BH17" s="86">
        <f t="shared" si="21"/>
        <v>0</v>
      </c>
    </row>
    <row r="18" spans="2:62" s="93" customFormat="1" ht="36.200000000000003" customHeight="1" x14ac:dyDescent="0.3">
      <c r="B18" s="87">
        <v>14</v>
      </c>
      <c r="C18" s="88"/>
      <c r="D18" s="73">
        <v>10045</v>
      </c>
      <c r="E18" s="89"/>
      <c r="F18" s="72">
        <v>101714476720</v>
      </c>
      <c r="G18" s="72">
        <v>5608923572</v>
      </c>
      <c r="H18" s="75" t="s">
        <v>148</v>
      </c>
      <c r="I18" s="76"/>
      <c r="J18" s="76" t="s">
        <v>243</v>
      </c>
      <c r="K18" s="77" t="s">
        <v>86</v>
      </c>
      <c r="L18" s="78">
        <v>43425</v>
      </c>
      <c r="M18" s="89"/>
      <c r="N18" s="74">
        <v>46021</v>
      </c>
      <c r="O18" s="74" t="str">
        <f t="shared" si="0"/>
        <v>7 years,1 months</v>
      </c>
      <c r="P18" s="79">
        <v>25</v>
      </c>
      <c r="Q18" s="79">
        <v>0</v>
      </c>
      <c r="R18" s="79">
        <f>VLOOKUP(D18,'[1]work-sAl'!$B$2:$P$39,15,0)</f>
        <v>2</v>
      </c>
      <c r="S18" s="79">
        <v>0</v>
      </c>
      <c r="T18" s="79">
        <v>0</v>
      </c>
      <c r="U18" s="79">
        <f t="shared" si="22"/>
        <v>27</v>
      </c>
      <c r="V18" s="79">
        <v>76.5</v>
      </c>
      <c r="W18" s="90">
        <f t="shared" si="1"/>
        <v>50</v>
      </c>
      <c r="X18" s="88">
        <f t="shared" si="2"/>
        <v>26.5</v>
      </c>
      <c r="Y18" s="90">
        <f t="shared" si="3"/>
        <v>25</v>
      </c>
      <c r="Z18" s="79">
        <v>668</v>
      </c>
      <c r="AA18" s="81">
        <f t="shared" si="4"/>
        <v>8684</v>
      </c>
      <c r="AB18" s="81">
        <f t="shared" si="5"/>
        <v>3473.6000000000004</v>
      </c>
      <c r="AC18" s="81">
        <f t="shared" si="6"/>
        <v>1736.8000000000002</v>
      </c>
      <c r="AD18" s="81">
        <f t="shared" si="7"/>
        <v>1736.8000000000002</v>
      </c>
      <c r="AE18" s="81">
        <f t="shared" si="8"/>
        <v>1736.8000000000002</v>
      </c>
      <c r="AF18" s="82">
        <f t="shared" si="9"/>
        <v>83.5</v>
      </c>
      <c r="AG18" s="81">
        <f t="shared" si="23"/>
        <v>17368</v>
      </c>
      <c r="AH18" s="72">
        <f t="shared" si="24"/>
        <v>9018</v>
      </c>
      <c r="AI18" s="72">
        <f t="shared" si="25"/>
        <v>3607.2000000000007</v>
      </c>
      <c r="AJ18" s="72">
        <f t="shared" si="26"/>
        <v>1803.6000000000004</v>
      </c>
      <c r="AK18" s="72">
        <f t="shared" si="27"/>
        <v>1803.6000000000004</v>
      </c>
      <c r="AL18" s="72">
        <f t="shared" si="28"/>
        <v>1803.6000000000004</v>
      </c>
      <c r="AM18" s="81">
        <f t="shared" si="29"/>
        <v>2212.75</v>
      </c>
      <c r="AN18" s="81">
        <f t="shared" si="11"/>
        <v>4175</v>
      </c>
      <c r="AO18" s="81">
        <f t="shared" si="12"/>
        <v>24423.75</v>
      </c>
      <c r="AP18" s="81">
        <f t="shared" si="13"/>
        <v>20248.75</v>
      </c>
      <c r="AQ18" s="83">
        <f t="shared" si="14"/>
        <v>15000</v>
      </c>
      <c r="AR18" s="72">
        <f t="shared" si="15"/>
        <v>21000</v>
      </c>
      <c r="AS18" s="72">
        <v>0</v>
      </c>
      <c r="AT18" s="83">
        <f t="shared" si="16"/>
        <v>1800</v>
      </c>
      <c r="AU18" s="177">
        <f>VLOOKUP(D18,'[1]work-sAl'!$B$2:$Z$70,25,0)</f>
        <v>1800</v>
      </c>
      <c r="AV18" s="83">
        <f t="shared" si="17"/>
        <v>157.5</v>
      </c>
      <c r="AW18" s="177">
        <f>VLOOKUP(D18,'[1]work-sAl'!$B$2:$AA$70,26,0)</f>
        <v>174</v>
      </c>
      <c r="AX18" s="81">
        <v>0</v>
      </c>
      <c r="AY18" s="81">
        <v>1500</v>
      </c>
      <c r="AZ18" s="81">
        <v>0</v>
      </c>
      <c r="BA18" s="81">
        <v>0</v>
      </c>
      <c r="BB18" s="81">
        <f t="shared" si="18"/>
        <v>5431.5</v>
      </c>
      <c r="BC18" s="81">
        <f t="shared" si="19"/>
        <v>18992.25</v>
      </c>
      <c r="BD18" s="92"/>
      <c r="BE18" s="81">
        <v>15000</v>
      </c>
      <c r="BF18" s="85">
        <v>150000</v>
      </c>
      <c r="BG18" s="80">
        <f t="shared" si="20"/>
        <v>165000</v>
      </c>
      <c r="BH18" s="86">
        <f t="shared" si="21"/>
        <v>163500</v>
      </c>
      <c r="BI18" s="65"/>
      <c r="BJ18" s="65"/>
    </row>
    <row r="19" spans="2:62" s="93" customFormat="1" ht="36.200000000000003" customHeight="1" x14ac:dyDescent="0.3">
      <c r="B19" s="71">
        <v>15</v>
      </c>
      <c r="C19" s="88"/>
      <c r="D19" s="73">
        <v>10047</v>
      </c>
      <c r="E19" s="89"/>
      <c r="F19" s="72">
        <v>101572245900</v>
      </c>
      <c r="G19" s="72">
        <v>5608568103</v>
      </c>
      <c r="H19" s="75" t="s">
        <v>149</v>
      </c>
      <c r="I19" s="76"/>
      <c r="J19" s="76" t="s">
        <v>243</v>
      </c>
      <c r="K19" s="77" t="s">
        <v>86</v>
      </c>
      <c r="L19" s="78">
        <v>43909</v>
      </c>
      <c r="M19" s="89"/>
      <c r="N19" s="74">
        <v>46021</v>
      </c>
      <c r="O19" s="74" t="str">
        <f t="shared" si="0"/>
        <v>5 years,9 months</v>
      </c>
      <c r="P19" s="79">
        <v>20</v>
      </c>
      <c r="Q19" s="79">
        <v>0</v>
      </c>
      <c r="R19" s="79">
        <f>VLOOKUP(D19,'[1]work-sAl'!$B$2:$P$39,15,0)</f>
        <v>2</v>
      </c>
      <c r="S19" s="79">
        <v>0</v>
      </c>
      <c r="T19" s="79">
        <v>0</v>
      </c>
      <c r="U19" s="79">
        <f t="shared" si="22"/>
        <v>22</v>
      </c>
      <c r="V19" s="79">
        <v>64.5</v>
      </c>
      <c r="W19" s="90">
        <f t="shared" si="1"/>
        <v>50</v>
      </c>
      <c r="X19" s="88">
        <f t="shared" si="2"/>
        <v>14.5</v>
      </c>
      <c r="Y19" s="90">
        <f t="shared" si="3"/>
        <v>25</v>
      </c>
      <c r="Z19" s="79">
        <v>610</v>
      </c>
      <c r="AA19" s="81">
        <f t="shared" si="4"/>
        <v>7930</v>
      </c>
      <c r="AB19" s="81">
        <f t="shared" si="5"/>
        <v>3172</v>
      </c>
      <c r="AC19" s="81">
        <f t="shared" si="6"/>
        <v>1586</v>
      </c>
      <c r="AD19" s="81">
        <f t="shared" si="7"/>
        <v>1586</v>
      </c>
      <c r="AE19" s="81">
        <f t="shared" si="8"/>
        <v>1586</v>
      </c>
      <c r="AF19" s="82">
        <f t="shared" si="9"/>
        <v>76.25</v>
      </c>
      <c r="AG19" s="81">
        <f t="shared" si="23"/>
        <v>15860</v>
      </c>
      <c r="AH19" s="72">
        <f t="shared" si="24"/>
        <v>6710</v>
      </c>
      <c r="AI19" s="72">
        <f t="shared" si="25"/>
        <v>2684</v>
      </c>
      <c r="AJ19" s="72">
        <f t="shared" si="26"/>
        <v>1342</v>
      </c>
      <c r="AK19" s="72">
        <f t="shared" si="27"/>
        <v>1342</v>
      </c>
      <c r="AL19" s="72">
        <f t="shared" si="28"/>
        <v>1342</v>
      </c>
      <c r="AM19" s="81">
        <f t="shared" si="29"/>
        <v>1105.625</v>
      </c>
      <c r="AN19" s="81">
        <f t="shared" si="11"/>
        <v>3812.5</v>
      </c>
      <c r="AO19" s="81">
        <f t="shared" si="12"/>
        <v>18338.125</v>
      </c>
      <c r="AP19" s="81">
        <f t="shared" si="13"/>
        <v>14525.625</v>
      </c>
      <c r="AQ19" s="83">
        <f t="shared" si="14"/>
        <v>11841.625</v>
      </c>
      <c r="AR19" s="72">
        <f t="shared" si="15"/>
        <v>16504.3125</v>
      </c>
      <c r="AS19" s="72">
        <v>0</v>
      </c>
      <c r="AT19" s="83">
        <f t="shared" si="16"/>
        <v>1420.9949999999999</v>
      </c>
      <c r="AU19" s="177">
        <f>VLOOKUP(D19,'[1]work-sAl'!$B$2:$Z$70,25,0)</f>
        <v>1524</v>
      </c>
      <c r="AV19" s="83">
        <f t="shared" si="17"/>
        <v>123.78234375</v>
      </c>
      <c r="AW19" s="177">
        <f>VLOOKUP(D19,'[1]work-sAl'!$B$2:$AA$70,26,0)</f>
        <v>129</v>
      </c>
      <c r="AX19" s="81">
        <v>0</v>
      </c>
      <c r="AY19" s="81">
        <v>1000</v>
      </c>
      <c r="AZ19" s="81">
        <v>0</v>
      </c>
      <c r="BA19" s="81">
        <v>0</v>
      </c>
      <c r="BB19" s="81">
        <f t="shared" si="18"/>
        <v>4197.77734375</v>
      </c>
      <c r="BC19" s="81">
        <f t="shared" si="19"/>
        <v>14140.34765625</v>
      </c>
      <c r="BD19" s="91"/>
      <c r="BE19" s="81">
        <v>0</v>
      </c>
      <c r="BF19" s="85">
        <v>4500</v>
      </c>
      <c r="BG19" s="80">
        <f t="shared" si="20"/>
        <v>4500</v>
      </c>
      <c r="BH19" s="86">
        <f t="shared" si="21"/>
        <v>3500</v>
      </c>
      <c r="BI19" s="65"/>
      <c r="BJ19" s="65"/>
    </row>
    <row r="20" spans="2:62" s="93" customFormat="1" ht="36.200000000000003" customHeight="1" x14ac:dyDescent="0.3">
      <c r="B20" s="71">
        <v>16</v>
      </c>
      <c r="C20" s="88"/>
      <c r="D20" s="73">
        <v>10050</v>
      </c>
      <c r="E20" s="89"/>
      <c r="F20" s="72">
        <v>100707968847</v>
      </c>
      <c r="G20" s="72">
        <v>0</v>
      </c>
      <c r="H20" s="75" t="s">
        <v>150</v>
      </c>
      <c r="I20" s="76"/>
      <c r="J20" s="76" t="s">
        <v>240</v>
      </c>
      <c r="K20" s="77" t="s">
        <v>86</v>
      </c>
      <c r="L20" s="78">
        <v>44217</v>
      </c>
      <c r="M20" s="89"/>
      <c r="N20" s="74">
        <v>46021</v>
      </c>
      <c r="O20" s="74" t="str">
        <f t="shared" si="0"/>
        <v>4 years,11 months</v>
      </c>
      <c r="P20" s="79">
        <v>26.5</v>
      </c>
      <c r="Q20" s="79">
        <v>0</v>
      </c>
      <c r="R20" s="79">
        <f>VLOOKUP(D20,'[1]work-sAl'!$B$2:$P$39,15,0)</f>
        <v>0.5</v>
      </c>
      <c r="S20" s="79">
        <v>0</v>
      </c>
      <c r="T20" s="79">
        <v>0</v>
      </c>
      <c r="U20" s="79">
        <f t="shared" si="22"/>
        <v>27</v>
      </c>
      <c r="V20" s="79">
        <v>106</v>
      </c>
      <c r="W20" s="90">
        <f t="shared" si="1"/>
        <v>50</v>
      </c>
      <c r="X20" s="88">
        <f t="shared" si="2"/>
        <v>56</v>
      </c>
      <c r="Y20" s="90">
        <f t="shared" si="3"/>
        <v>25</v>
      </c>
      <c r="Z20" s="79">
        <v>918</v>
      </c>
      <c r="AA20" s="81">
        <f t="shared" si="4"/>
        <v>11934</v>
      </c>
      <c r="AB20" s="81">
        <f t="shared" si="5"/>
        <v>4773.6000000000004</v>
      </c>
      <c r="AC20" s="81">
        <f t="shared" si="6"/>
        <v>2386.8000000000002</v>
      </c>
      <c r="AD20" s="81">
        <f t="shared" si="7"/>
        <v>2386.8000000000002</v>
      </c>
      <c r="AE20" s="81">
        <f t="shared" si="8"/>
        <v>2386.8000000000002</v>
      </c>
      <c r="AF20" s="82">
        <f t="shared" si="9"/>
        <v>114.75</v>
      </c>
      <c r="AG20" s="81">
        <f t="shared" si="23"/>
        <v>23868</v>
      </c>
      <c r="AH20" s="72">
        <f t="shared" si="24"/>
        <v>12393</v>
      </c>
      <c r="AI20" s="72">
        <f t="shared" si="25"/>
        <v>4957.2000000000007</v>
      </c>
      <c r="AJ20" s="72">
        <f t="shared" si="26"/>
        <v>2478.6000000000004</v>
      </c>
      <c r="AK20" s="72">
        <f t="shared" si="27"/>
        <v>2478.6000000000004</v>
      </c>
      <c r="AL20" s="72">
        <f t="shared" si="28"/>
        <v>2478.6000000000004</v>
      </c>
      <c r="AM20" s="81">
        <f t="shared" si="29"/>
        <v>6426</v>
      </c>
      <c r="AN20" s="81">
        <f t="shared" si="11"/>
        <v>5737.5</v>
      </c>
      <c r="AO20" s="81">
        <f t="shared" si="12"/>
        <v>36949.5</v>
      </c>
      <c r="AP20" s="81">
        <f t="shared" si="13"/>
        <v>31212</v>
      </c>
      <c r="AQ20" s="83">
        <f t="shared" si="14"/>
        <v>15000</v>
      </c>
      <c r="AR20" s="72">
        <f t="shared" si="15"/>
        <v>0</v>
      </c>
      <c r="AS20" s="72">
        <v>0</v>
      </c>
      <c r="AT20" s="83">
        <f t="shared" si="16"/>
        <v>1800</v>
      </c>
      <c r="AU20" s="177">
        <f>VLOOKUP(D20,'[1]work-sAl'!$B$2:$Z$70,25,0)</f>
        <v>1800</v>
      </c>
      <c r="AV20" s="83">
        <f t="shared" si="17"/>
        <v>0</v>
      </c>
      <c r="AW20" s="177">
        <f>VLOOKUP(D20,'[1]work-sAl'!$B$2:$AA$70,26,0)</f>
        <v>0</v>
      </c>
      <c r="AX20" s="81">
        <v>0</v>
      </c>
      <c r="AY20" s="81">
        <v>1000</v>
      </c>
      <c r="AZ20" s="81">
        <v>0</v>
      </c>
      <c r="BA20" s="81">
        <v>0</v>
      </c>
      <c r="BB20" s="81">
        <f t="shared" si="18"/>
        <v>4600</v>
      </c>
      <c r="BC20" s="81">
        <f t="shared" si="19"/>
        <v>32349.5</v>
      </c>
      <c r="BD20" s="92"/>
      <c r="BE20" s="81">
        <v>0</v>
      </c>
      <c r="BF20" s="85">
        <v>51000</v>
      </c>
      <c r="BG20" s="80">
        <f t="shared" si="20"/>
        <v>51000</v>
      </c>
      <c r="BH20" s="86">
        <f t="shared" si="21"/>
        <v>50000</v>
      </c>
      <c r="BI20" s="65"/>
      <c r="BJ20" s="65"/>
    </row>
    <row r="21" spans="2:62" s="93" customFormat="1" ht="36.200000000000003" customHeight="1" x14ac:dyDescent="0.3">
      <c r="B21" s="87">
        <v>17</v>
      </c>
      <c r="C21" s="88"/>
      <c r="D21" s="73">
        <v>10052</v>
      </c>
      <c r="E21" s="89"/>
      <c r="F21" s="72">
        <v>101365932977</v>
      </c>
      <c r="G21" s="72">
        <v>5608923650</v>
      </c>
      <c r="H21" s="75" t="s">
        <v>151</v>
      </c>
      <c r="I21" s="76"/>
      <c r="J21" s="76" t="s">
        <v>244</v>
      </c>
      <c r="K21" s="77" t="s">
        <v>86</v>
      </c>
      <c r="L21" s="78">
        <v>44256</v>
      </c>
      <c r="M21" s="89"/>
      <c r="N21" s="74">
        <v>46021</v>
      </c>
      <c r="O21" s="74" t="str">
        <f t="shared" si="0"/>
        <v>4 years,9 months</v>
      </c>
      <c r="P21" s="79">
        <v>25</v>
      </c>
      <c r="Q21" s="79">
        <v>0</v>
      </c>
      <c r="R21" s="79">
        <f>VLOOKUP(D21,'[1]work-sAl'!$B$2:$P$39,15,0)</f>
        <v>2</v>
      </c>
      <c r="S21" s="79">
        <v>0</v>
      </c>
      <c r="T21" s="79">
        <v>0</v>
      </c>
      <c r="U21" s="79">
        <f t="shared" si="22"/>
        <v>27</v>
      </c>
      <c r="V21" s="79">
        <v>95</v>
      </c>
      <c r="W21" s="90">
        <f t="shared" si="1"/>
        <v>50</v>
      </c>
      <c r="X21" s="88">
        <f t="shared" si="2"/>
        <v>45</v>
      </c>
      <c r="Y21" s="90">
        <f t="shared" si="3"/>
        <v>25</v>
      </c>
      <c r="Z21" s="79">
        <v>560</v>
      </c>
      <c r="AA21" s="81">
        <f t="shared" si="4"/>
        <v>7280</v>
      </c>
      <c r="AB21" s="81">
        <f t="shared" si="5"/>
        <v>2912</v>
      </c>
      <c r="AC21" s="81">
        <f t="shared" si="6"/>
        <v>1456</v>
      </c>
      <c r="AD21" s="81">
        <f t="shared" si="7"/>
        <v>1456</v>
      </c>
      <c r="AE21" s="81">
        <f t="shared" si="8"/>
        <v>1456</v>
      </c>
      <c r="AF21" s="82">
        <f t="shared" si="9"/>
        <v>70</v>
      </c>
      <c r="AG21" s="81">
        <f t="shared" si="23"/>
        <v>14560</v>
      </c>
      <c r="AH21" s="72">
        <f t="shared" si="24"/>
        <v>7560</v>
      </c>
      <c r="AI21" s="72">
        <f t="shared" si="25"/>
        <v>3024</v>
      </c>
      <c r="AJ21" s="72">
        <f t="shared" si="26"/>
        <v>1512</v>
      </c>
      <c r="AK21" s="72">
        <f t="shared" si="27"/>
        <v>1512</v>
      </c>
      <c r="AL21" s="72">
        <f t="shared" si="28"/>
        <v>1512</v>
      </c>
      <c r="AM21" s="81">
        <f t="shared" si="29"/>
        <v>3150</v>
      </c>
      <c r="AN21" s="81">
        <f t="shared" si="11"/>
        <v>3500</v>
      </c>
      <c r="AO21" s="81">
        <f t="shared" si="12"/>
        <v>21770</v>
      </c>
      <c r="AP21" s="81">
        <f t="shared" si="13"/>
        <v>18270</v>
      </c>
      <c r="AQ21" s="83">
        <f t="shared" si="14"/>
        <v>15000</v>
      </c>
      <c r="AR21" s="72">
        <f t="shared" si="15"/>
        <v>19593</v>
      </c>
      <c r="AS21" s="72">
        <v>0</v>
      </c>
      <c r="AT21" s="83">
        <f t="shared" si="16"/>
        <v>1800</v>
      </c>
      <c r="AU21" s="177">
        <f>VLOOKUP(D21,'[1]work-sAl'!$B$2:$Z$70,25,0)</f>
        <v>1800</v>
      </c>
      <c r="AV21" s="83">
        <f t="shared" si="17"/>
        <v>146.94749999999999</v>
      </c>
      <c r="AW21" s="177">
        <f>VLOOKUP(D21,'[1]work-sAl'!$B$2:$AA$70,26,0)</f>
        <v>154</v>
      </c>
      <c r="AX21" s="81">
        <v>0</v>
      </c>
      <c r="AY21" s="81">
        <v>1000</v>
      </c>
      <c r="AZ21" s="81">
        <v>0</v>
      </c>
      <c r="BA21" s="81">
        <v>0</v>
      </c>
      <c r="BB21" s="81">
        <f t="shared" si="18"/>
        <v>4900.9475000000002</v>
      </c>
      <c r="BC21" s="81">
        <f t="shared" si="19"/>
        <v>16869.052499999998</v>
      </c>
      <c r="BD21" s="92"/>
      <c r="BE21" s="81">
        <v>0</v>
      </c>
      <c r="BF21" s="85">
        <v>12000</v>
      </c>
      <c r="BG21" s="80">
        <f t="shared" si="20"/>
        <v>12000</v>
      </c>
      <c r="BH21" s="86">
        <f t="shared" si="21"/>
        <v>11000</v>
      </c>
      <c r="BI21" s="65"/>
      <c r="BJ21" s="65"/>
    </row>
    <row r="22" spans="2:62" s="93" customFormat="1" ht="36.200000000000003" customHeight="1" x14ac:dyDescent="0.3">
      <c r="B22" s="71">
        <v>18</v>
      </c>
      <c r="C22" s="88"/>
      <c r="D22" s="73">
        <v>10053</v>
      </c>
      <c r="E22" s="89"/>
      <c r="F22" s="72">
        <v>102074864909</v>
      </c>
      <c r="G22" s="72">
        <v>5610589106</v>
      </c>
      <c r="H22" s="75" t="s">
        <v>152</v>
      </c>
      <c r="I22" s="76"/>
      <c r="J22" s="76" t="s">
        <v>243</v>
      </c>
      <c r="K22" s="77" t="s">
        <v>86</v>
      </c>
      <c r="L22" s="78">
        <v>44270</v>
      </c>
      <c r="M22" s="89"/>
      <c r="N22" s="74">
        <v>46021</v>
      </c>
      <c r="O22" s="74" t="str">
        <f t="shared" si="0"/>
        <v>4 years,9 months</v>
      </c>
      <c r="P22" s="79">
        <v>23.5</v>
      </c>
      <c r="Q22" s="79">
        <v>0</v>
      </c>
      <c r="R22" s="79">
        <f>VLOOKUP(D22,'[1]work-sAl'!$B$2:$P$39,15,0)</f>
        <v>2</v>
      </c>
      <c r="S22" s="79">
        <v>0</v>
      </c>
      <c r="T22" s="79">
        <v>0</v>
      </c>
      <c r="U22" s="79">
        <f t="shared" si="22"/>
        <v>25.5</v>
      </c>
      <c r="V22" s="79">
        <v>84</v>
      </c>
      <c r="W22" s="90">
        <f t="shared" si="1"/>
        <v>50</v>
      </c>
      <c r="X22" s="88">
        <f t="shared" si="2"/>
        <v>34</v>
      </c>
      <c r="Y22" s="90">
        <f t="shared" si="3"/>
        <v>25</v>
      </c>
      <c r="Z22" s="79">
        <v>620</v>
      </c>
      <c r="AA22" s="81">
        <f t="shared" si="4"/>
        <v>8060</v>
      </c>
      <c r="AB22" s="81">
        <f t="shared" si="5"/>
        <v>3224</v>
      </c>
      <c r="AC22" s="81">
        <f t="shared" si="6"/>
        <v>1612</v>
      </c>
      <c r="AD22" s="81">
        <f t="shared" si="7"/>
        <v>1612</v>
      </c>
      <c r="AE22" s="81">
        <f t="shared" si="8"/>
        <v>1612</v>
      </c>
      <c r="AF22" s="82">
        <f t="shared" si="9"/>
        <v>77.5</v>
      </c>
      <c r="AG22" s="81">
        <f t="shared" si="23"/>
        <v>16120</v>
      </c>
      <c r="AH22" s="72">
        <f t="shared" si="24"/>
        <v>7905</v>
      </c>
      <c r="AI22" s="72">
        <f t="shared" si="25"/>
        <v>3162</v>
      </c>
      <c r="AJ22" s="72">
        <f t="shared" si="26"/>
        <v>1581</v>
      </c>
      <c r="AK22" s="72">
        <f t="shared" si="27"/>
        <v>1581</v>
      </c>
      <c r="AL22" s="72">
        <f t="shared" si="28"/>
        <v>1581</v>
      </c>
      <c r="AM22" s="81">
        <f t="shared" si="29"/>
        <v>2635</v>
      </c>
      <c r="AN22" s="81">
        <f t="shared" si="11"/>
        <v>3875</v>
      </c>
      <c r="AO22" s="81">
        <f t="shared" si="12"/>
        <v>22320</v>
      </c>
      <c r="AP22" s="81">
        <f t="shared" si="13"/>
        <v>18445</v>
      </c>
      <c r="AQ22" s="83">
        <f t="shared" si="14"/>
        <v>15000</v>
      </c>
      <c r="AR22" s="72">
        <f t="shared" si="15"/>
        <v>20088</v>
      </c>
      <c r="AS22" s="72">
        <v>0</v>
      </c>
      <c r="AT22" s="83">
        <f t="shared" si="16"/>
        <v>1800</v>
      </c>
      <c r="AU22" s="177">
        <f>VLOOKUP(D22,'[1]work-sAl'!$B$2:$Z$70,25,0)</f>
        <v>1800</v>
      </c>
      <c r="AV22" s="83">
        <f t="shared" si="17"/>
        <v>150.66</v>
      </c>
      <c r="AW22" s="177">
        <f>VLOOKUP(D22,'[1]work-sAl'!$B$2:$AA$70,26,0)</f>
        <v>155</v>
      </c>
      <c r="AX22" s="81">
        <v>0</v>
      </c>
      <c r="AY22" s="81">
        <v>1500</v>
      </c>
      <c r="AZ22" s="81">
        <v>0</v>
      </c>
      <c r="BA22" s="81">
        <v>0</v>
      </c>
      <c r="BB22" s="81">
        <f t="shared" si="18"/>
        <v>5405.66</v>
      </c>
      <c r="BC22" s="81">
        <f t="shared" si="19"/>
        <v>16914.34</v>
      </c>
      <c r="BD22" s="92"/>
      <c r="BE22" s="81">
        <v>0</v>
      </c>
      <c r="BF22" s="85">
        <v>84000</v>
      </c>
      <c r="BG22" s="80">
        <f t="shared" si="20"/>
        <v>84000</v>
      </c>
      <c r="BH22" s="86">
        <f t="shared" si="21"/>
        <v>82500</v>
      </c>
      <c r="BI22" s="65"/>
      <c r="BJ22" s="65"/>
    </row>
    <row r="23" spans="2:62" s="93" customFormat="1" ht="36.200000000000003" customHeight="1" x14ac:dyDescent="0.3">
      <c r="B23" s="87">
        <v>19</v>
      </c>
      <c r="C23" s="88"/>
      <c r="D23" s="73">
        <v>10055</v>
      </c>
      <c r="E23" s="89"/>
      <c r="F23" s="72">
        <v>102048949604</v>
      </c>
      <c r="G23" s="72">
        <v>5610462716</v>
      </c>
      <c r="H23" s="75" t="s">
        <v>153</v>
      </c>
      <c r="I23" s="76"/>
      <c r="J23" s="76" t="s">
        <v>243</v>
      </c>
      <c r="K23" s="77" t="s">
        <v>86</v>
      </c>
      <c r="L23" s="78">
        <v>44317</v>
      </c>
      <c r="M23" s="89"/>
      <c r="N23" s="74">
        <v>46021</v>
      </c>
      <c r="O23" s="74" t="str">
        <f t="shared" si="0"/>
        <v>4 years,7 months</v>
      </c>
      <c r="P23" s="79">
        <v>24</v>
      </c>
      <c r="Q23" s="79">
        <v>0</v>
      </c>
      <c r="R23" s="79">
        <f>VLOOKUP(D23,'[1]work-sAl'!$B$2:$P$39,15,0)</f>
        <v>2</v>
      </c>
      <c r="S23" s="79">
        <v>0</v>
      </c>
      <c r="T23" s="79">
        <v>0</v>
      </c>
      <c r="U23" s="79">
        <f t="shared" si="22"/>
        <v>26</v>
      </c>
      <c r="V23" s="79">
        <v>63</v>
      </c>
      <c r="W23" s="90">
        <f t="shared" si="1"/>
        <v>50</v>
      </c>
      <c r="X23" s="88">
        <f t="shared" si="2"/>
        <v>13</v>
      </c>
      <c r="Y23" s="90">
        <f t="shared" si="3"/>
        <v>25</v>
      </c>
      <c r="Z23" s="79">
        <v>605</v>
      </c>
      <c r="AA23" s="81">
        <f t="shared" si="4"/>
        <v>7865</v>
      </c>
      <c r="AB23" s="81">
        <f t="shared" si="5"/>
        <v>3146</v>
      </c>
      <c r="AC23" s="81">
        <f t="shared" si="6"/>
        <v>1573</v>
      </c>
      <c r="AD23" s="81">
        <f t="shared" si="7"/>
        <v>1573</v>
      </c>
      <c r="AE23" s="81">
        <f t="shared" si="8"/>
        <v>1573</v>
      </c>
      <c r="AF23" s="82">
        <f t="shared" si="9"/>
        <v>75.625</v>
      </c>
      <c r="AG23" s="81">
        <f t="shared" si="23"/>
        <v>15730</v>
      </c>
      <c r="AH23" s="72">
        <f t="shared" si="24"/>
        <v>7865</v>
      </c>
      <c r="AI23" s="72">
        <f t="shared" si="25"/>
        <v>3146</v>
      </c>
      <c r="AJ23" s="72">
        <f t="shared" si="26"/>
        <v>1573</v>
      </c>
      <c r="AK23" s="72">
        <f t="shared" si="27"/>
        <v>1573</v>
      </c>
      <c r="AL23" s="72">
        <f t="shared" si="28"/>
        <v>1573</v>
      </c>
      <c r="AM23" s="81">
        <f t="shared" si="29"/>
        <v>983.125</v>
      </c>
      <c r="AN23" s="81">
        <f t="shared" si="11"/>
        <v>3781.25</v>
      </c>
      <c r="AO23" s="81">
        <f t="shared" si="12"/>
        <v>20494.375</v>
      </c>
      <c r="AP23" s="81">
        <f t="shared" si="13"/>
        <v>16713.125</v>
      </c>
      <c r="AQ23" s="83">
        <f t="shared" si="14"/>
        <v>13567.125</v>
      </c>
      <c r="AR23" s="72">
        <f t="shared" si="15"/>
        <v>18444.9375</v>
      </c>
      <c r="AS23" s="72">
        <v>0</v>
      </c>
      <c r="AT23" s="83">
        <f t="shared" si="16"/>
        <v>1628.0549999999998</v>
      </c>
      <c r="AU23" s="177">
        <f>VLOOKUP(D23,'[1]work-sAl'!$B$2:$Z$70,25,0)</f>
        <v>1675</v>
      </c>
      <c r="AV23" s="83">
        <f t="shared" si="17"/>
        <v>138.33703125</v>
      </c>
      <c r="AW23" s="177">
        <f>VLOOKUP(D23,'[1]work-sAl'!$B$2:$AA$70,26,0)</f>
        <v>145</v>
      </c>
      <c r="AX23" s="81">
        <v>0</v>
      </c>
      <c r="AY23" s="81">
        <v>0</v>
      </c>
      <c r="AZ23" s="81">
        <v>0</v>
      </c>
      <c r="BA23" s="81">
        <v>0</v>
      </c>
      <c r="BB23" s="81">
        <f t="shared" si="18"/>
        <v>3586.3920312499999</v>
      </c>
      <c r="BC23" s="81">
        <f t="shared" si="19"/>
        <v>16907.982968749999</v>
      </c>
      <c r="BD23" s="92"/>
      <c r="BE23" s="81">
        <v>0</v>
      </c>
      <c r="BF23" s="85">
        <v>0</v>
      </c>
      <c r="BG23" s="80">
        <f t="shared" si="20"/>
        <v>0</v>
      </c>
      <c r="BH23" s="86">
        <f t="shared" si="21"/>
        <v>0</v>
      </c>
      <c r="BI23" s="65"/>
      <c r="BJ23" s="65"/>
    </row>
    <row r="24" spans="2:62" s="93" customFormat="1" ht="36.200000000000003" customHeight="1" x14ac:dyDescent="0.3">
      <c r="B24" s="71">
        <v>20</v>
      </c>
      <c r="C24" s="88"/>
      <c r="D24" s="73">
        <v>10056</v>
      </c>
      <c r="E24" s="89"/>
      <c r="F24" s="72">
        <v>102048949643</v>
      </c>
      <c r="G24" s="72">
        <v>5610462706</v>
      </c>
      <c r="H24" s="75" t="s">
        <v>154</v>
      </c>
      <c r="I24" s="76"/>
      <c r="J24" s="76" t="s">
        <v>240</v>
      </c>
      <c r="K24" s="77" t="s">
        <v>86</v>
      </c>
      <c r="L24" s="78">
        <v>44509</v>
      </c>
      <c r="M24" s="89"/>
      <c r="N24" s="74">
        <v>46021</v>
      </c>
      <c r="O24" s="74" t="str">
        <f t="shared" si="0"/>
        <v>4 years,1 months</v>
      </c>
      <c r="P24" s="79">
        <v>26</v>
      </c>
      <c r="Q24" s="79">
        <v>0</v>
      </c>
      <c r="R24" s="79">
        <f>VLOOKUP(D24,'[1]work-sAl'!$B$2:$P$39,15,0)</f>
        <v>1</v>
      </c>
      <c r="S24" s="79">
        <v>0</v>
      </c>
      <c r="T24" s="79">
        <v>0</v>
      </c>
      <c r="U24" s="79">
        <f t="shared" si="22"/>
        <v>27</v>
      </c>
      <c r="V24" s="79">
        <v>67</v>
      </c>
      <c r="W24" s="90">
        <f t="shared" si="1"/>
        <v>50</v>
      </c>
      <c r="X24" s="88">
        <f t="shared" si="2"/>
        <v>17</v>
      </c>
      <c r="Y24" s="90">
        <f t="shared" si="3"/>
        <v>25</v>
      </c>
      <c r="Z24" s="79">
        <v>550</v>
      </c>
      <c r="AA24" s="81">
        <f t="shared" si="4"/>
        <v>7150</v>
      </c>
      <c r="AB24" s="81">
        <f t="shared" si="5"/>
        <v>2860</v>
      </c>
      <c r="AC24" s="81">
        <f t="shared" si="6"/>
        <v>1430</v>
      </c>
      <c r="AD24" s="81">
        <f t="shared" si="7"/>
        <v>1430</v>
      </c>
      <c r="AE24" s="81">
        <f t="shared" si="8"/>
        <v>1430</v>
      </c>
      <c r="AF24" s="82">
        <f t="shared" si="9"/>
        <v>68.75</v>
      </c>
      <c r="AG24" s="81">
        <f t="shared" si="23"/>
        <v>14300</v>
      </c>
      <c r="AH24" s="72">
        <f t="shared" si="24"/>
        <v>7425</v>
      </c>
      <c r="AI24" s="72">
        <f t="shared" si="25"/>
        <v>2970</v>
      </c>
      <c r="AJ24" s="72">
        <f t="shared" si="26"/>
        <v>1485</v>
      </c>
      <c r="AK24" s="72">
        <f t="shared" si="27"/>
        <v>1485</v>
      </c>
      <c r="AL24" s="72">
        <f t="shared" si="28"/>
        <v>1485</v>
      </c>
      <c r="AM24" s="81">
        <f t="shared" si="29"/>
        <v>1168.75</v>
      </c>
      <c r="AN24" s="81">
        <f t="shared" si="11"/>
        <v>3437.5</v>
      </c>
      <c r="AO24" s="81">
        <f t="shared" si="12"/>
        <v>19456.25</v>
      </c>
      <c r="AP24" s="81">
        <f t="shared" si="13"/>
        <v>16018.75</v>
      </c>
      <c r="AQ24" s="83">
        <f t="shared" si="14"/>
        <v>13048.75</v>
      </c>
      <c r="AR24" s="72">
        <f t="shared" si="15"/>
        <v>17510.625</v>
      </c>
      <c r="AS24" s="72">
        <v>0</v>
      </c>
      <c r="AT24" s="83">
        <f t="shared" si="16"/>
        <v>1565.85</v>
      </c>
      <c r="AU24" s="177">
        <f>VLOOKUP(D24,'[1]work-sAl'!$B$2:$Z$70,25,0)</f>
        <v>1563</v>
      </c>
      <c r="AV24" s="83">
        <f t="shared" si="17"/>
        <v>131.32968750000001</v>
      </c>
      <c r="AW24" s="177">
        <f>VLOOKUP(D24,'[1]work-sAl'!$B$2:$AA$70,26,0)</f>
        <v>137</v>
      </c>
      <c r="AX24" s="81">
        <v>0</v>
      </c>
      <c r="AY24" s="81">
        <v>0</v>
      </c>
      <c r="AZ24" s="81">
        <v>0</v>
      </c>
      <c r="BA24" s="81">
        <v>0</v>
      </c>
      <c r="BB24" s="81">
        <f t="shared" si="18"/>
        <v>3397.1796875</v>
      </c>
      <c r="BC24" s="81">
        <f t="shared" si="19"/>
        <v>16059.0703125</v>
      </c>
      <c r="BD24" s="92"/>
      <c r="BE24" s="81">
        <v>0</v>
      </c>
      <c r="BF24" s="85">
        <v>0</v>
      </c>
      <c r="BG24" s="80">
        <f t="shared" si="20"/>
        <v>0</v>
      </c>
      <c r="BH24" s="86">
        <f t="shared" si="21"/>
        <v>0</v>
      </c>
      <c r="BI24" s="65"/>
      <c r="BJ24" s="65"/>
    </row>
    <row r="25" spans="2:62" s="93" customFormat="1" ht="36.200000000000003" customHeight="1" x14ac:dyDescent="0.3">
      <c r="B25" s="71">
        <v>21</v>
      </c>
      <c r="C25" s="88"/>
      <c r="D25" s="73">
        <v>10066</v>
      </c>
      <c r="E25" s="89"/>
      <c r="F25" s="72">
        <v>102048949636</v>
      </c>
      <c r="G25" s="72">
        <v>5610462730</v>
      </c>
      <c r="H25" s="75" t="s">
        <v>155</v>
      </c>
      <c r="I25" s="76"/>
      <c r="J25" s="76" t="s">
        <v>243</v>
      </c>
      <c r="K25" s="77" t="s">
        <v>86</v>
      </c>
      <c r="L25" s="78">
        <v>44973</v>
      </c>
      <c r="M25" s="89"/>
      <c r="N25" s="74">
        <v>46021</v>
      </c>
      <c r="O25" s="74" t="str">
        <f t="shared" si="0"/>
        <v>2 years,10 months</v>
      </c>
      <c r="P25" s="79">
        <v>26</v>
      </c>
      <c r="Q25" s="79">
        <v>0</v>
      </c>
      <c r="R25" s="79">
        <f>VLOOKUP(D25,'[1]work-sAl'!$B$2:$P$39,15,0)</f>
        <v>1</v>
      </c>
      <c r="S25" s="79">
        <v>0</v>
      </c>
      <c r="T25" s="79">
        <v>0</v>
      </c>
      <c r="U25" s="79">
        <f t="shared" si="22"/>
        <v>27</v>
      </c>
      <c r="V25" s="79">
        <v>96.5</v>
      </c>
      <c r="W25" s="90">
        <f t="shared" si="1"/>
        <v>50</v>
      </c>
      <c r="X25" s="88">
        <f t="shared" si="2"/>
        <v>46.5</v>
      </c>
      <c r="Y25" s="90">
        <f t="shared" si="3"/>
        <v>25</v>
      </c>
      <c r="Z25" s="79">
        <v>550</v>
      </c>
      <c r="AA25" s="81">
        <f t="shared" si="4"/>
        <v>7150</v>
      </c>
      <c r="AB25" s="81">
        <f t="shared" si="5"/>
        <v>2860</v>
      </c>
      <c r="AC25" s="81">
        <f t="shared" si="6"/>
        <v>1430</v>
      </c>
      <c r="AD25" s="81">
        <f t="shared" si="7"/>
        <v>1430</v>
      </c>
      <c r="AE25" s="81">
        <f t="shared" si="8"/>
        <v>1430</v>
      </c>
      <c r="AF25" s="82">
        <f t="shared" si="9"/>
        <v>68.75</v>
      </c>
      <c r="AG25" s="81">
        <f t="shared" si="23"/>
        <v>14300</v>
      </c>
      <c r="AH25" s="72">
        <f t="shared" si="24"/>
        <v>7425</v>
      </c>
      <c r="AI25" s="72">
        <f t="shared" si="25"/>
        <v>2970</v>
      </c>
      <c r="AJ25" s="72">
        <f t="shared" si="26"/>
        <v>1485</v>
      </c>
      <c r="AK25" s="72">
        <f t="shared" si="27"/>
        <v>1485</v>
      </c>
      <c r="AL25" s="72">
        <f t="shared" si="28"/>
        <v>1485</v>
      </c>
      <c r="AM25" s="81">
        <f t="shared" si="29"/>
        <v>3196.875</v>
      </c>
      <c r="AN25" s="81">
        <f t="shared" si="11"/>
        <v>3437.5</v>
      </c>
      <c r="AO25" s="81">
        <f t="shared" si="12"/>
        <v>21484.375</v>
      </c>
      <c r="AP25" s="81">
        <f t="shared" si="13"/>
        <v>18046.875</v>
      </c>
      <c r="AQ25" s="83">
        <f t="shared" si="14"/>
        <v>15000</v>
      </c>
      <c r="AR25" s="72">
        <f t="shared" si="15"/>
        <v>19335.9375</v>
      </c>
      <c r="AS25" s="72">
        <v>0</v>
      </c>
      <c r="AT25" s="83">
        <f t="shared" si="16"/>
        <v>1800</v>
      </c>
      <c r="AU25" s="177">
        <f>VLOOKUP(D25,'[1]work-sAl'!$B$2:$Z$70,25,0)</f>
        <v>1800</v>
      </c>
      <c r="AV25" s="83">
        <f t="shared" si="17"/>
        <v>145.01953125</v>
      </c>
      <c r="AW25" s="177">
        <f>VLOOKUP(D25,'[1]work-sAl'!$B$2:$AA$70,26,0)</f>
        <v>151</v>
      </c>
      <c r="AX25" s="81">
        <v>0</v>
      </c>
      <c r="AY25" s="81">
        <v>1500</v>
      </c>
      <c r="AZ25" s="81">
        <v>0</v>
      </c>
      <c r="BA25" s="81">
        <v>0</v>
      </c>
      <c r="BB25" s="81">
        <f t="shared" si="18"/>
        <v>5396.01953125</v>
      </c>
      <c r="BC25" s="81">
        <f t="shared" si="19"/>
        <v>16088.35546875</v>
      </c>
      <c r="BD25" s="92"/>
      <c r="BE25" s="81">
        <v>0</v>
      </c>
      <c r="BF25" s="85">
        <v>32000</v>
      </c>
      <c r="BG25" s="80">
        <f t="shared" si="20"/>
        <v>32000</v>
      </c>
      <c r="BH25" s="86">
        <f t="shared" si="21"/>
        <v>30500</v>
      </c>
      <c r="BI25" s="65"/>
      <c r="BJ25" s="65"/>
    </row>
    <row r="26" spans="2:62" s="93" customFormat="1" ht="36.200000000000003" customHeight="1" x14ac:dyDescent="0.3">
      <c r="B26" s="87">
        <v>22</v>
      </c>
      <c r="C26" s="88"/>
      <c r="D26" s="73">
        <v>10095</v>
      </c>
      <c r="E26" s="89"/>
      <c r="F26" s="72">
        <v>101636327536</v>
      </c>
      <c r="G26" s="72">
        <v>5608572408</v>
      </c>
      <c r="H26" s="75" t="s">
        <v>156</v>
      </c>
      <c r="I26" s="76"/>
      <c r="J26" s="76" t="s">
        <v>243</v>
      </c>
      <c r="K26" s="77" t="s">
        <v>86</v>
      </c>
      <c r="L26" s="78">
        <v>43790</v>
      </c>
      <c r="M26" s="89"/>
      <c r="N26" s="74">
        <v>46021</v>
      </c>
      <c r="O26" s="74" t="str">
        <f t="shared" si="0"/>
        <v>6 years,1 months</v>
      </c>
      <c r="P26" s="79">
        <v>25</v>
      </c>
      <c r="Q26" s="79">
        <v>0</v>
      </c>
      <c r="R26" s="79">
        <f>VLOOKUP(D26,'[1]work-sAl'!$B$2:$P$39,15,0)</f>
        <v>2</v>
      </c>
      <c r="S26" s="79">
        <v>0</v>
      </c>
      <c r="T26" s="79">
        <v>0</v>
      </c>
      <c r="U26" s="79">
        <f t="shared" si="22"/>
        <v>27</v>
      </c>
      <c r="V26" s="79">
        <v>95</v>
      </c>
      <c r="W26" s="90">
        <f t="shared" si="1"/>
        <v>50</v>
      </c>
      <c r="X26" s="88">
        <f t="shared" si="2"/>
        <v>45</v>
      </c>
      <c r="Y26" s="90">
        <f t="shared" si="3"/>
        <v>25</v>
      </c>
      <c r="Z26" s="79">
        <v>600</v>
      </c>
      <c r="AA26" s="81">
        <f t="shared" si="4"/>
        <v>7800</v>
      </c>
      <c r="AB26" s="81">
        <f t="shared" si="5"/>
        <v>3120</v>
      </c>
      <c r="AC26" s="81">
        <f t="shared" si="6"/>
        <v>1560</v>
      </c>
      <c r="AD26" s="81">
        <f t="shared" si="7"/>
        <v>1560</v>
      </c>
      <c r="AE26" s="81">
        <f t="shared" si="8"/>
        <v>1560</v>
      </c>
      <c r="AF26" s="82">
        <f t="shared" si="9"/>
        <v>75</v>
      </c>
      <c r="AG26" s="81">
        <f t="shared" si="23"/>
        <v>15600</v>
      </c>
      <c r="AH26" s="72">
        <f t="shared" si="24"/>
        <v>8100</v>
      </c>
      <c r="AI26" s="72">
        <f t="shared" si="25"/>
        <v>3240</v>
      </c>
      <c r="AJ26" s="72">
        <f t="shared" si="26"/>
        <v>1620</v>
      </c>
      <c r="AK26" s="72">
        <f t="shared" si="27"/>
        <v>1620</v>
      </c>
      <c r="AL26" s="72">
        <f t="shared" si="28"/>
        <v>1620</v>
      </c>
      <c r="AM26" s="81">
        <f t="shared" si="29"/>
        <v>3375</v>
      </c>
      <c r="AN26" s="81">
        <f t="shared" si="11"/>
        <v>3750</v>
      </c>
      <c r="AO26" s="81">
        <f t="shared" si="12"/>
        <v>23325</v>
      </c>
      <c r="AP26" s="81">
        <f t="shared" si="13"/>
        <v>19575</v>
      </c>
      <c r="AQ26" s="83">
        <f t="shared" si="14"/>
        <v>15000</v>
      </c>
      <c r="AR26" s="72">
        <f t="shared" si="15"/>
        <v>20992.5</v>
      </c>
      <c r="AS26" s="72">
        <v>0</v>
      </c>
      <c r="AT26" s="83">
        <f t="shared" si="16"/>
        <v>1800</v>
      </c>
      <c r="AU26" s="177">
        <f>VLOOKUP(D26,'[1]work-sAl'!$B$2:$Z$70,25,0)</f>
        <v>1800</v>
      </c>
      <c r="AV26" s="83">
        <f t="shared" si="17"/>
        <v>157.44374999999999</v>
      </c>
      <c r="AW26" s="177">
        <f>VLOOKUP(D26,'[1]work-sAl'!$B$2:$AA$70,26,0)</f>
        <v>163</v>
      </c>
      <c r="AX26" s="81">
        <v>0</v>
      </c>
      <c r="AY26" s="81">
        <v>1000</v>
      </c>
      <c r="AZ26" s="81">
        <v>0</v>
      </c>
      <c r="BA26" s="81">
        <v>0</v>
      </c>
      <c r="BB26" s="81">
        <f t="shared" si="18"/>
        <v>4920.4437500000004</v>
      </c>
      <c r="BC26" s="81">
        <f t="shared" si="19"/>
        <v>18404.556250000001</v>
      </c>
      <c r="BD26" s="92"/>
      <c r="BE26" s="81">
        <v>10000</v>
      </c>
      <c r="BF26" s="85">
        <v>101500</v>
      </c>
      <c r="BG26" s="80">
        <f t="shared" si="20"/>
        <v>111500</v>
      </c>
      <c r="BH26" s="86">
        <f t="shared" si="21"/>
        <v>110500</v>
      </c>
      <c r="BI26" s="65"/>
      <c r="BJ26" s="65"/>
    </row>
    <row r="27" spans="2:62" s="93" customFormat="1" ht="36.200000000000003" customHeight="1" x14ac:dyDescent="0.3">
      <c r="B27" s="71">
        <v>23</v>
      </c>
      <c r="C27" s="88"/>
      <c r="D27" s="73">
        <v>10097</v>
      </c>
      <c r="E27" s="89"/>
      <c r="F27" s="72">
        <v>102202240995</v>
      </c>
      <c r="G27" s="72">
        <v>5611267148</v>
      </c>
      <c r="H27" s="75" t="s">
        <v>157</v>
      </c>
      <c r="I27" s="76"/>
      <c r="J27" s="76" t="s">
        <v>240</v>
      </c>
      <c r="K27" s="77" t="s">
        <v>86</v>
      </c>
      <c r="L27" s="78">
        <v>45253</v>
      </c>
      <c r="M27" s="89"/>
      <c r="N27" s="74">
        <v>46021</v>
      </c>
      <c r="O27" s="74" t="str">
        <f t="shared" si="0"/>
        <v>2 years,1 months</v>
      </c>
      <c r="P27" s="79">
        <v>25</v>
      </c>
      <c r="Q27" s="79">
        <v>0</v>
      </c>
      <c r="R27" s="79">
        <f>VLOOKUP(D27,'[1]work-sAl'!$B$2:$P$39,15,0)</f>
        <v>2</v>
      </c>
      <c r="S27" s="79">
        <v>0</v>
      </c>
      <c r="T27" s="79">
        <v>0</v>
      </c>
      <c r="U27" s="79">
        <f t="shared" si="22"/>
        <v>27</v>
      </c>
      <c r="V27" s="79">
        <v>109.5</v>
      </c>
      <c r="W27" s="90">
        <f t="shared" si="1"/>
        <v>50</v>
      </c>
      <c r="X27" s="88">
        <f t="shared" si="2"/>
        <v>59.5</v>
      </c>
      <c r="Y27" s="90">
        <f t="shared" si="3"/>
        <v>25</v>
      </c>
      <c r="Z27" s="79">
        <v>830</v>
      </c>
      <c r="AA27" s="81">
        <f t="shared" si="4"/>
        <v>10790</v>
      </c>
      <c r="AB27" s="81">
        <f t="shared" si="5"/>
        <v>4316</v>
      </c>
      <c r="AC27" s="81">
        <f t="shared" si="6"/>
        <v>2158</v>
      </c>
      <c r="AD27" s="81">
        <f t="shared" si="7"/>
        <v>2158</v>
      </c>
      <c r="AE27" s="81">
        <f t="shared" si="8"/>
        <v>2158</v>
      </c>
      <c r="AF27" s="82">
        <f t="shared" si="9"/>
        <v>103.75</v>
      </c>
      <c r="AG27" s="81">
        <f t="shared" si="23"/>
        <v>21580</v>
      </c>
      <c r="AH27" s="72">
        <f t="shared" si="24"/>
        <v>11205</v>
      </c>
      <c r="AI27" s="72">
        <f t="shared" si="25"/>
        <v>4482</v>
      </c>
      <c r="AJ27" s="72">
        <f t="shared" si="26"/>
        <v>2241</v>
      </c>
      <c r="AK27" s="72">
        <f t="shared" si="27"/>
        <v>2241</v>
      </c>
      <c r="AL27" s="72">
        <f t="shared" si="28"/>
        <v>2241</v>
      </c>
      <c r="AM27" s="81">
        <f t="shared" si="29"/>
        <v>6173.125</v>
      </c>
      <c r="AN27" s="81">
        <f t="shared" si="11"/>
        <v>5187.5</v>
      </c>
      <c r="AO27" s="81">
        <f t="shared" si="12"/>
        <v>33770.625</v>
      </c>
      <c r="AP27" s="81">
        <f t="shared" si="13"/>
        <v>28583.125</v>
      </c>
      <c r="AQ27" s="83">
        <f t="shared" si="14"/>
        <v>15000</v>
      </c>
      <c r="AR27" s="72">
        <f t="shared" si="15"/>
        <v>0</v>
      </c>
      <c r="AS27" s="72">
        <v>0</v>
      </c>
      <c r="AT27" s="83">
        <f t="shared" si="16"/>
        <v>1800</v>
      </c>
      <c r="AU27" s="177">
        <f>VLOOKUP(D27,'[1]work-sAl'!$B$2:$Z$70,25,0)</f>
        <v>1800</v>
      </c>
      <c r="AV27" s="83">
        <f t="shared" si="17"/>
        <v>0</v>
      </c>
      <c r="AW27" s="177">
        <f>VLOOKUP(D27,'[1]work-sAl'!$B$2:$AA$70,26,0)</f>
        <v>0</v>
      </c>
      <c r="AX27" s="81">
        <v>0</v>
      </c>
      <c r="AY27" s="81">
        <v>0</v>
      </c>
      <c r="AZ27" s="81">
        <v>0</v>
      </c>
      <c r="BA27" s="81">
        <v>0</v>
      </c>
      <c r="BB27" s="81">
        <f t="shared" si="18"/>
        <v>3600</v>
      </c>
      <c r="BC27" s="81">
        <f t="shared" si="19"/>
        <v>30170.625</v>
      </c>
      <c r="BD27" s="92"/>
      <c r="BE27" s="81">
        <v>0</v>
      </c>
      <c r="BF27" s="85">
        <v>0</v>
      </c>
      <c r="BG27" s="80">
        <f t="shared" si="20"/>
        <v>0</v>
      </c>
      <c r="BH27" s="86">
        <f t="shared" si="21"/>
        <v>0</v>
      </c>
      <c r="BI27" s="65"/>
      <c r="BJ27" s="65"/>
    </row>
    <row r="28" spans="2:62" s="93" customFormat="1" ht="36.200000000000003" customHeight="1" x14ac:dyDescent="0.3">
      <c r="B28" s="87">
        <v>24</v>
      </c>
      <c r="C28" s="88"/>
      <c r="D28" s="73">
        <v>10118</v>
      </c>
      <c r="E28" s="89"/>
      <c r="F28" s="72">
        <v>101568247566</v>
      </c>
      <c r="G28" s="72">
        <v>6633748482</v>
      </c>
      <c r="H28" s="75" t="s">
        <v>158</v>
      </c>
      <c r="I28" s="76"/>
      <c r="J28" s="76" t="s">
        <v>245</v>
      </c>
      <c r="K28" s="77" t="s">
        <v>86</v>
      </c>
      <c r="L28" s="78">
        <v>45483</v>
      </c>
      <c r="M28" s="89"/>
      <c r="N28" s="74">
        <v>46021</v>
      </c>
      <c r="O28" s="74" t="str">
        <f t="shared" si="0"/>
        <v>1 years,5 months</v>
      </c>
      <c r="P28" s="79">
        <v>21.5</v>
      </c>
      <c r="Q28" s="79">
        <v>0</v>
      </c>
      <c r="R28" s="79">
        <f>VLOOKUP(D28,'[1]work-sAl'!$B$2:$P$39,15,0)</f>
        <v>2</v>
      </c>
      <c r="S28" s="79">
        <v>0</v>
      </c>
      <c r="T28" s="79">
        <v>0</v>
      </c>
      <c r="U28" s="79">
        <f t="shared" si="22"/>
        <v>23.5</v>
      </c>
      <c r="V28" s="79">
        <v>108.5</v>
      </c>
      <c r="W28" s="90">
        <f t="shared" si="1"/>
        <v>50</v>
      </c>
      <c r="X28" s="88">
        <f t="shared" si="2"/>
        <v>58.5</v>
      </c>
      <c r="Y28" s="90">
        <f t="shared" si="3"/>
        <v>25</v>
      </c>
      <c r="Z28" s="79">
        <v>620</v>
      </c>
      <c r="AA28" s="81">
        <f t="shared" si="4"/>
        <v>8060</v>
      </c>
      <c r="AB28" s="81">
        <f t="shared" si="5"/>
        <v>3224</v>
      </c>
      <c r="AC28" s="81">
        <f t="shared" si="6"/>
        <v>1612</v>
      </c>
      <c r="AD28" s="81">
        <f t="shared" si="7"/>
        <v>1612</v>
      </c>
      <c r="AE28" s="81">
        <f t="shared" si="8"/>
        <v>1612</v>
      </c>
      <c r="AF28" s="82">
        <f t="shared" si="9"/>
        <v>77.5</v>
      </c>
      <c r="AG28" s="81">
        <f t="shared" si="23"/>
        <v>16120</v>
      </c>
      <c r="AH28" s="72">
        <f t="shared" si="24"/>
        <v>7285</v>
      </c>
      <c r="AI28" s="72">
        <f t="shared" si="25"/>
        <v>2914</v>
      </c>
      <c r="AJ28" s="72">
        <f t="shared" si="26"/>
        <v>1457</v>
      </c>
      <c r="AK28" s="72">
        <f t="shared" si="27"/>
        <v>1457</v>
      </c>
      <c r="AL28" s="72">
        <f t="shared" si="28"/>
        <v>1457</v>
      </c>
      <c r="AM28" s="81">
        <f t="shared" si="29"/>
        <v>4533.75</v>
      </c>
      <c r="AN28" s="81">
        <f t="shared" si="11"/>
        <v>3875</v>
      </c>
      <c r="AO28" s="81">
        <f t="shared" si="12"/>
        <v>22978.75</v>
      </c>
      <c r="AP28" s="81">
        <f t="shared" si="13"/>
        <v>19103.75</v>
      </c>
      <c r="AQ28" s="83">
        <f t="shared" si="14"/>
        <v>15000</v>
      </c>
      <c r="AR28" s="72">
        <f t="shared" si="15"/>
        <v>20680.875</v>
      </c>
      <c r="AS28" s="72">
        <v>0</v>
      </c>
      <c r="AT28" s="83">
        <f t="shared" si="16"/>
        <v>1800</v>
      </c>
      <c r="AU28" s="177">
        <f>VLOOKUP(D28,'[1]work-sAl'!$B$2:$Z$70,25,0)</f>
        <v>1800</v>
      </c>
      <c r="AV28" s="83">
        <f t="shared" si="17"/>
        <v>155.1065625</v>
      </c>
      <c r="AW28" s="177">
        <f>VLOOKUP(D28,'[1]work-sAl'!$B$2:$AA$70,26,0)</f>
        <v>162</v>
      </c>
      <c r="AX28" s="81">
        <v>0</v>
      </c>
      <c r="AY28" s="81">
        <v>0</v>
      </c>
      <c r="AZ28" s="81">
        <v>0</v>
      </c>
      <c r="BA28" s="81">
        <v>0</v>
      </c>
      <c r="BB28" s="81">
        <f t="shared" si="18"/>
        <v>3917.1065625000001</v>
      </c>
      <c r="BC28" s="81">
        <f t="shared" si="19"/>
        <v>19061.643437499999</v>
      </c>
      <c r="BD28" s="92"/>
      <c r="BE28" s="81">
        <v>0</v>
      </c>
      <c r="BF28" s="85">
        <v>0</v>
      </c>
      <c r="BG28" s="80">
        <f t="shared" si="20"/>
        <v>0</v>
      </c>
      <c r="BH28" s="86">
        <f t="shared" si="21"/>
        <v>0</v>
      </c>
      <c r="BI28" s="65"/>
      <c r="BJ28" s="65"/>
    </row>
    <row r="29" spans="2:62" s="93" customFormat="1" ht="36.200000000000003" customHeight="1" x14ac:dyDescent="0.3">
      <c r="B29" s="71">
        <v>25</v>
      </c>
      <c r="C29" s="88"/>
      <c r="D29" s="73">
        <v>10001</v>
      </c>
      <c r="E29" s="89"/>
      <c r="F29" s="72">
        <v>100205815691</v>
      </c>
      <c r="G29" s="72">
        <v>0</v>
      </c>
      <c r="H29" s="75" t="s">
        <v>159</v>
      </c>
      <c r="I29" s="76"/>
      <c r="J29" s="76" t="s">
        <v>246</v>
      </c>
      <c r="K29" s="77" t="s">
        <v>84</v>
      </c>
      <c r="L29" s="78">
        <v>34615</v>
      </c>
      <c r="M29" s="89"/>
      <c r="N29" s="74">
        <v>46021</v>
      </c>
      <c r="O29" s="74" t="str">
        <f t="shared" si="0"/>
        <v>31 years,2 months</v>
      </c>
      <c r="P29" s="79">
        <v>24</v>
      </c>
      <c r="Q29" s="79">
        <v>0</v>
      </c>
      <c r="R29" s="79">
        <f>VLOOKUP(D29,'[1]work-sAl'!$B$2:$P$39,15,0)</f>
        <v>2</v>
      </c>
      <c r="S29" s="79">
        <v>0</v>
      </c>
      <c r="T29" s="79">
        <v>0</v>
      </c>
      <c r="U29" s="79">
        <f t="shared" si="22"/>
        <v>26</v>
      </c>
      <c r="V29" s="79">
        <v>72</v>
      </c>
      <c r="W29" s="90">
        <f t="shared" si="1"/>
        <v>50</v>
      </c>
      <c r="X29" s="88">
        <f t="shared" si="2"/>
        <v>22</v>
      </c>
      <c r="Y29" s="90">
        <f t="shared" si="3"/>
        <v>25</v>
      </c>
      <c r="Z29" s="79">
        <v>1242</v>
      </c>
      <c r="AA29" s="81">
        <f t="shared" si="4"/>
        <v>16146</v>
      </c>
      <c r="AB29" s="81">
        <f t="shared" si="5"/>
        <v>6458.4000000000005</v>
      </c>
      <c r="AC29" s="81">
        <f t="shared" si="6"/>
        <v>3229.2000000000003</v>
      </c>
      <c r="AD29" s="81">
        <f t="shared" si="7"/>
        <v>3229.2000000000003</v>
      </c>
      <c r="AE29" s="81">
        <f t="shared" si="8"/>
        <v>3229.2000000000003</v>
      </c>
      <c r="AF29" s="82">
        <f t="shared" si="9"/>
        <v>155.25</v>
      </c>
      <c r="AG29" s="81">
        <f t="shared" si="23"/>
        <v>32292</v>
      </c>
      <c r="AH29" s="72">
        <f t="shared" si="24"/>
        <v>16146</v>
      </c>
      <c r="AI29" s="72">
        <f t="shared" si="25"/>
        <v>6458.4000000000005</v>
      </c>
      <c r="AJ29" s="72">
        <f t="shared" si="26"/>
        <v>3229.2000000000003</v>
      </c>
      <c r="AK29" s="72">
        <f t="shared" si="27"/>
        <v>3229.2000000000003</v>
      </c>
      <c r="AL29" s="72">
        <f t="shared" si="28"/>
        <v>3229.2000000000003</v>
      </c>
      <c r="AM29" s="81">
        <f t="shared" si="29"/>
        <v>3415.5</v>
      </c>
      <c r="AN29" s="81">
        <f t="shared" si="11"/>
        <v>7762.5</v>
      </c>
      <c r="AO29" s="81">
        <f t="shared" si="12"/>
        <v>43470</v>
      </c>
      <c r="AP29" s="81">
        <f t="shared" si="13"/>
        <v>35707.5</v>
      </c>
      <c r="AQ29" s="83">
        <f t="shared" si="14"/>
        <v>15000</v>
      </c>
      <c r="AR29" s="72">
        <f t="shared" si="15"/>
        <v>0</v>
      </c>
      <c r="AS29" s="72">
        <v>0</v>
      </c>
      <c r="AT29" s="83">
        <f t="shared" si="16"/>
        <v>1800</v>
      </c>
      <c r="AU29" s="177">
        <f>VLOOKUP(D29,'[1]work-sAl'!$B$2:$Z$70,25,0)</f>
        <v>1800</v>
      </c>
      <c r="AV29" s="83">
        <f t="shared" si="17"/>
        <v>0</v>
      </c>
      <c r="AW29" s="177">
        <f>VLOOKUP(D29,'[1]work-sAl'!$B$2:$AA$70,26,0)</f>
        <v>0</v>
      </c>
      <c r="AX29" s="81">
        <v>359</v>
      </c>
      <c r="AY29" s="81">
        <v>2000</v>
      </c>
      <c r="AZ29" s="81">
        <v>0</v>
      </c>
      <c r="BA29" s="81">
        <v>0</v>
      </c>
      <c r="BB29" s="81">
        <f t="shared" si="18"/>
        <v>5959</v>
      </c>
      <c r="BC29" s="81">
        <f t="shared" si="19"/>
        <v>37511</v>
      </c>
      <c r="BD29" s="92"/>
      <c r="BE29" s="81">
        <v>0</v>
      </c>
      <c r="BF29" s="85">
        <v>457500</v>
      </c>
      <c r="BG29" s="80">
        <f t="shared" si="20"/>
        <v>457500</v>
      </c>
      <c r="BH29" s="86">
        <f t="shared" si="21"/>
        <v>455500</v>
      </c>
      <c r="BI29" s="65"/>
      <c r="BJ29" s="65"/>
    </row>
    <row r="30" spans="2:62" s="93" customFormat="1" ht="36.200000000000003" customHeight="1" x14ac:dyDescent="0.3">
      <c r="B30" s="71">
        <v>26</v>
      </c>
      <c r="C30" s="88"/>
      <c r="D30" s="73">
        <v>10004</v>
      </c>
      <c r="E30" s="89"/>
      <c r="F30" s="72">
        <v>100357359069</v>
      </c>
      <c r="G30" s="72">
        <v>0</v>
      </c>
      <c r="H30" s="75" t="s">
        <v>160</v>
      </c>
      <c r="I30" s="76"/>
      <c r="J30" s="76" t="s">
        <v>246</v>
      </c>
      <c r="K30" s="77" t="s">
        <v>84</v>
      </c>
      <c r="L30" s="78">
        <v>37217</v>
      </c>
      <c r="M30" s="89"/>
      <c r="N30" s="74">
        <v>46021</v>
      </c>
      <c r="O30" s="74" t="str">
        <f t="shared" si="0"/>
        <v>24 years,1 months</v>
      </c>
      <c r="P30" s="79">
        <v>23</v>
      </c>
      <c r="Q30" s="79">
        <v>0</v>
      </c>
      <c r="R30" s="79">
        <f>VLOOKUP(D30,'[1]work-sAl'!$B$2:$P$39,15,0)</f>
        <v>2</v>
      </c>
      <c r="S30" s="79">
        <v>0</v>
      </c>
      <c r="T30" s="79">
        <v>0</v>
      </c>
      <c r="U30" s="79">
        <f t="shared" si="22"/>
        <v>25</v>
      </c>
      <c r="V30" s="79">
        <v>68.5</v>
      </c>
      <c r="W30" s="90">
        <f t="shared" si="1"/>
        <v>50</v>
      </c>
      <c r="X30" s="88">
        <f t="shared" si="2"/>
        <v>18.5</v>
      </c>
      <c r="Y30" s="90">
        <f t="shared" si="3"/>
        <v>25</v>
      </c>
      <c r="Z30" s="79">
        <v>1174</v>
      </c>
      <c r="AA30" s="81">
        <f t="shared" si="4"/>
        <v>15262</v>
      </c>
      <c r="AB30" s="81">
        <f t="shared" si="5"/>
        <v>6104.8</v>
      </c>
      <c r="AC30" s="81">
        <f t="shared" si="6"/>
        <v>3052.4</v>
      </c>
      <c r="AD30" s="81">
        <f t="shared" si="7"/>
        <v>3052.4</v>
      </c>
      <c r="AE30" s="81">
        <f t="shared" si="8"/>
        <v>3052.4</v>
      </c>
      <c r="AF30" s="82">
        <f t="shared" si="9"/>
        <v>146.75</v>
      </c>
      <c r="AG30" s="81">
        <f t="shared" si="23"/>
        <v>30524</v>
      </c>
      <c r="AH30" s="72">
        <f t="shared" si="24"/>
        <v>14675</v>
      </c>
      <c r="AI30" s="72">
        <f t="shared" si="25"/>
        <v>5870</v>
      </c>
      <c r="AJ30" s="72">
        <f t="shared" si="26"/>
        <v>2935</v>
      </c>
      <c r="AK30" s="72">
        <f t="shared" si="27"/>
        <v>2935</v>
      </c>
      <c r="AL30" s="72">
        <f t="shared" si="28"/>
        <v>2935</v>
      </c>
      <c r="AM30" s="81">
        <f t="shared" si="29"/>
        <v>2714.875</v>
      </c>
      <c r="AN30" s="81">
        <f t="shared" si="11"/>
        <v>7337.5</v>
      </c>
      <c r="AO30" s="81">
        <f t="shared" si="12"/>
        <v>39402.375</v>
      </c>
      <c r="AP30" s="81">
        <f t="shared" si="13"/>
        <v>32064.875</v>
      </c>
      <c r="AQ30" s="83">
        <f t="shared" si="14"/>
        <v>15000</v>
      </c>
      <c r="AR30" s="72">
        <f t="shared" si="15"/>
        <v>0</v>
      </c>
      <c r="AS30" s="72">
        <v>0</v>
      </c>
      <c r="AT30" s="83">
        <f t="shared" si="16"/>
        <v>1800</v>
      </c>
      <c r="AU30" s="177">
        <f>VLOOKUP(D30,'[1]work-sAl'!$B$2:$Z$70,25,0)</f>
        <v>1800</v>
      </c>
      <c r="AV30" s="83">
        <f t="shared" si="17"/>
        <v>0</v>
      </c>
      <c r="AW30" s="177">
        <f>VLOOKUP(D30,'[1]work-sAl'!$B$2:$AA$70,26,0)</f>
        <v>0</v>
      </c>
      <c r="AX30" s="81">
        <v>241</v>
      </c>
      <c r="AY30" s="81">
        <v>3000</v>
      </c>
      <c r="AZ30" s="81">
        <v>0</v>
      </c>
      <c r="BA30" s="81">
        <v>0</v>
      </c>
      <c r="BB30" s="81">
        <f t="shared" si="18"/>
        <v>6841</v>
      </c>
      <c r="BC30" s="81">
        <f t="shared" si="19"/>
        <v>32561.375</v>
      </c>
      <c r="BD30" s="92"/>
      <c r="BE30" s="81">
        <v>30000</v>
      </c>
      <c r="BF30" s="85">
        <v>409900</v>
      </c>
      <c r="BG30" s="80">
        <f t="shared" si="20"/>
        <v>439900</v>
      </c>
      <c r="BH30" s="86">
        <f t="shared" si="21"/>
        <v>436900</v>
      </c>
      <c r="BI30" s="65"/>
      <c r="BJ30" s="65"/>
    </row>
    <row r="31" spans="2:62" s="93" customFormat="1" ht="36.200000000000003" customHeight="1" x14ac:dyDescent="0.3">
      <c r="B31" s="87">
        <v>27</v>
      </c>
      <c r="C31" s="88"/>
      <c r="D31" s="73">
        <v>10009</v>
      </c>
      <c r="E31" s="89"/>
      <c r="F31" s="72">
        <v>100272000435</v>
      </c>
      <c r="G31" s="72">
        <v>0</v>
      </c>
      <c r="H31" s="75" t="s">
        <v>161</v>
      </c>
      <c r="I31" s="76"/>
      <c r="J31" s="76" t="s">
        <v>247</v>
      </c>
      <c r="K31" s="77" t="s">
        <v>84</v>
      </c>
      <c r="L31" s="78">
        <v>39240</v>
      </c>
      <c r="M31" s="89"/>
      <c r="N31" s="74">
        <v>46021</v>
      </c>
      <c r="O31" s="74" t="str">
        <f t="shared" si="0"/>
        <v>18 years,6 months</v>
      </c>
      <c r="P31" s="79">
        <v>25</v>
      </c>
      <c r="Q31" s="79">
        <v>0</v>
      </c>
      <c r="R31" s="79">
        <f>VLOOKUP(D31,'[1]work-sAl'!$B$2:$P$39,15,0)</f>
        <v>2</v>
      </c>
      <c r="S31" s="79">
        <v>0</v>
      </c>
      <c r="T31" s="79">
        <v>0</v>
      </c>
      <c r="U31" s="79">
        <f t="shared" si="22"/>
        <v>27</v>
      </c>
      <c r="V31" s="79">
        <v>49.5</v>
      </c>
      <c r="W31" s="90">
        <f t="shared" si="1"/>
        <v>49.5</v>
      </c>
      <c r="X31" s="88">
        <f t="shared" si="2"/>
        <v>0</v>
      </c>
      <c r="Y31" s="90">
        <f t="shared" si="3"/>
        <v>24.75</v>
      </c>
      <c r="Z31" s="79">
        <v>977</v>
      </c>
      <c r="AA31" s="81">
        <f t="shared" si="4"/>
        <v>12701</v>
      </c>
      <c r="AB31" s="81">
        <f t="shared" si="5"/>
        <v>5080.4000000000005</v>
      </c>
      <c r="AC31" s="81">
        <f t="shared" si="6"/>
        <v>2540.2000000000003</v>
      </c>
      <c r="AD31" s="81">
        <f t="shared" si="7"/>
        <v>2540.2000000000003</v>
      </c>
      <c r="AE31" s="81">
        <f t="shared" si="8"/>
        <v>2540.2000000000003</v>
      </c>
      <c r="AF31" s="82">
        <f t="shared" si="9"/>
        <v>122.125</v>
      </c>
      <c r="AG31" s="81">
        <f t="shared" si="23"/>
        <v>25402</v>
      </c>
      <c r="AH31" s="72">
        <f t="shared" si="24"/>
        <v>13189.5</v>
      </c>
      <c r="AI31" s="72">
        <f t="shared" si="25"/>
        <v>5275.8000000000011</v>
      </c>
      <c r="AJ31" s="72">
        <f t="shared" si="26"/>
        <v>2637.9000000000005</v>
      </c>
      <c r="AK31" s="72">
        <f t="shared" si="27"/>
        <v>2637.9000000000005</v>
      </c>
      <c r="AL31" s="72">
        <f t="shared" si="28"/>
        <v>2637.9000000000005</v>
      </c>
      <c r="AM31" s="81">
        <f t="shared" si="29"/>
        <v>0</v>
      </c>
      <c r="AN31" s="81">
        <f t="shared" si="11"/>
        <v>6045.1875</v>
      </c>
      <c r="AO31" s="81">
        <f t="shared" si="12"/>
        <v>32424.187500000007</v>
      </c>
      <c r="AP31" s="81">
        <f t="shared" si="13"/>
        <v>26379.000000000007</v>
      </c>
      <c r="AQ31" s="83">
        <f t="shared" si="14"/>
        <v>15000</v>
      </c>
      <c r="AR31" s="72">
        <f t="shared" si="15"/>
        <v>0</v>
      </c>
      <c r="AS31" s="72">
        <v>0</v>
      </c>
      <c r="AT31" s="83">
        <f t="shared" si="16"/>
        <v>1800</v>
      </c>
      <c r="AU31" s="177">
        <f>VLOOKUP(D31,'[1]work-sAl'!$B$2:$Z$70,25,0)</f>
        <v>1800</v>
      </c>
      <c r="AV31" s="83">
        <f t="shared" si="17"/>
        <v>0</v>
      </c>
      <c r="AW31" s="177">
        <f>VLOOKUP(D31,'[1]work-sAl'!$B$2:$AA$70,26,0)</f>
        <v>0</v>
      </c>
      <c r="AX31" s="81">
        <v>220</v>
      </c>
      <c r="AY31" s="81">
        <v>1000</v>
      </c>
      <c r="AZ31" s="81">
        <v>0</v>
      </c>
      <c r="BA31" s="81">
        <v>0</v>
      </c>
      <c r="BB31" s="81">
        <f t="shared" si="18"/>
        <v>4820</v>
      </c>
      <c r="BC31" s="81">
        <f t="shared" si="19"/>
        <v>27604.187500000007</v>
      </c>
      <c r="BD31" s="92"/>
      <c r="BE31" s="81">
        <v>0</v>
      </c>
      <c r="BF31" s="85">
        <v>79450</v>
      </c>
      <c r="BG31" s="80">
        <f t="shared" si="20"/>
        <v>79450</v>
      </c>
      <c r="BH31" s="86">
        <f t="shared" si="21"/>
        <v>78450</v>
      </c>
      <c r="BI31" s="65"/>
      <c r="BJ31" s="65"/>
    </row>
    <row r="32" spans="2:62" s="93" customFormat="1" ht="36.200000000000003" customHeight="1" x14ac:dyDescent="0.3">
      <c r="B32" s="71">
        <v>28</v>
      </c>
      <c r="C32" s="88"/>
      <c r="D32" s="73">
        <v>10011</v>
      </c>
      <c r="E32" s="89"/>
      <c r="F32" s="72">
        <v>100163697158</v>
      </c>
      <c r="G32" s="72">
        <v>0</v>
      </c>
      <c r="H32" s="75" t="s">
        <v>162</v>
      </c>
      <c r="I32" s="76"/>
      <c r="J32" s="76" t="s">
        <v>247</v>
      </c>
      <c r="K32" s="77" t="s">
        <v>84</v>
      </c>
      <c r="L32" s="78">
        <v>39240</v>
      </c>
      <c r="M32" s="89"/>
      <c r="N32" s="74">
        <v>46021</v>
      </c>
      <c r="O32" s="74" t="str">
        <f t="shared" si="0"/>
        <v>18 years,6 months</v>
      </c>
      <c r="P32" s="79">
        <v>23.5</v>
      </c>
      <c r="Q32" s="79">
        <v>0</v>
      </c>
      <c r="R32" s="79">
        <f>VLOOKUP(D32,'[1]work-sAl'!$B$2:$P$39,15,0)</f>
        <v>2</v>
      </c>
      <c r="S32" s="79">
        <v>0</v>
      </c>
      <c r="T32" s="79">
        <v>0</v>
      </c>
      <c r="U32" s="79">
        <f t="shared" si="22"/>
        <v>25.5</v>
      </c>
      <c r="V32" s="79">
        <v>81.5</v>
      </c>
      <c r="W32" s="90">
        <f t="shared" si="1"/>
        <v>50</v>
      </c>
      <c r="X32" s="88">
        <f t="shared" si="2"/>
        <v>31.5</v>
      </c>
      <c r="Y32" s="90">
        <f t="shared" si="3"/>
        <v>25</v>
      </c>
      <c r="Z32" s="79">
        <v>965</v>
      </c>
      <c r="AA32" s="81">
        <f t="shared" si="4"/>
        <v>12545</v>
      </c>
      <c r="AB32" s="81">
        <f t="shared" si="5"/>
        <v>5018</v>
      </c>
      <c r="AC32" s="81">
        <f t="shared" si="6"/>
        <v>2509</v>
      </c>
      <c r="AD32" s="81">
        <f t="shared" si="7"/>
        <v>2509</v>
      </c>
      <c r="AE32" s="81">
        <f t="shared" si="8"/>
        <v>2509</v>
      </c>
      <c r="AF32" s="82">
        <f t="shared" si="9"/>
        <v>120.625</v>
      </c>
      <c r="AG32" s="81">
        <f t="shared" si="23"/>
        <v>25090</v>
      </c>
      <c r="AH32" s="72">
        <f t="shared" si="24"/>
        <v>12303.75</v>
      </c>
      <c r="AI32" s="72">
        <f t="shared" si="25"/>
        <v>4921.5</v>
      </c>
      <c r="AJ32" s="72">
        <f t="shared" si="26"/>
        <v>2460.75</v>
      </c>
      <c r="AK32" s="72">
        <f t="shared" si="27"/>
        <v>2460.75</v>
      </c>
      <c r="AL32" s="72">
        <f t="shared" si="28"/>
        <v>2460.75</v>
      </c>
      <c r="AM32" s="81">
        <f t="shared" si="29"/>
        <v>3799.6875</v>
      </c>
      <c r="AN32" s="81">
        <f t="shared" si="11"/>
        <v>6031.25</v>
      </c>
      <c r="AO32" s="81">
        <f t="shared" si="12"/>
        <v>34438.4375</v>
      </c>
      <c r="AP32" s="81">
        <f t="shared" si="13"/>
        <v>28407.1875</v>
      </c>
      <c r="AQ32" s="83">
        <f t="shared" si="14"/>
        <v>15000</v>
      </c>
      <c r="AR32" s="72">
        <f t="shared" si="15"/>
        <v>0</v>
      </c>
      <c r="AS32" s="72">
        <v>0</v>
      </c>
      <c r="AT32" s="83">
        <f t="shared" si="16"/>
        <v>1800</v>
      </c>
      <c r="AU32" s="177">
        <f>VLOOKUP(D32,'[1]work-sAl'!$B$2:$Z$70,25,0)</f>
        <v>1800</v>
      </c>
      <c r="AV32" s="83">
        <f t="shared" si="17"/>
        <v>0</v>
      </c>
      <c r="AW32" s="177">
        <f>VLOOKUP(D32,'[1]work-sAl'!$B$2:$AA$70,26,0)</f>
        <v>0</v>
      </c>
      <c r="AX32" s="81">
        <v>222</v>
      </c>
      <c r="AY32" s="81">
        <v>1000</v>
      </c>
      <c r="AZ32" s="81">
        <v>0</v>
      </c>
      <c r="BA32" s="81">
        <v>0</v>
      </c>
      <c r="BB32" s="81">
        <f t="shared" si="18"/>
        <v>4822</v>
      </c>
      <c r="BC32" s="81">
        <f t="shared" si="19"/>
        <v>29616.4375</v>
      </c>
      <c r="BD32" s="92"/>
      <c r="BE32" s="81">
        <v>0</v>
      </c>
      <c r="BF32" s="85">
        <v>79500</v>
      </c>
      <c r="BG32" s="80">
        <f t="shared" si="20"/>
        <v>79500</v>
      </c>
      <c r="BH32" s="86">
        <f t="shared" si="21"/>
        <v>78500</v>
      </c>
      <c r="BI32" s="65"/>
      <c r="BJ32" s="65"/>
    </row>
    <row r="33" spans="2:62" s="93" customFormat="1" ht="36.200000000000003" customHeight="1" x14ac:dyDescent="0.3">
      <c r="B33" s="87">
        <v>29</v>
      </c>
      <c r="C33" s="88"/>
      <c r="D33" s="73">
        <v>10014</v>
      </c>
      <c r="E33" s="89"/>
      <c r="F33" s="72">
        <v>100357373185</v>
      </c>
      <c r="G33" s="72">
        <v>0</v>
      </c>
      <c r="H33" s="75" t="s">
        <v>163</v>
      </c>
      <c r="I33" s="76"/>
      <c r="J33" s="76" t="s">
        <v>247</v>
      </c>
      <c r="K33" s="77" t="s">
        <v>84</v>
      </c>
      <c r="L33" s="78">
        <v>39321</v>
      </c>
      <c r="M33" s="89"/>
      <c r="N33" s="74">
        <v>46021</v>
      </c>
      <c r="O33" s="74" t="str">
        <f t="shared" si="0"/>
        <v>18 years,4 months</v>
      </c>
      <c r="P33" s="79">
        <v>24</v>
      </c>
      <c r="Q33" s="79">
        <v>0</v>
      </c>
      <c r="R33" s="79">
        <f>VLOOKUP(D33,'[1]work-sAl'!$B$2:$P$39,15,0)</f>
        <v>2</v>
      </c>
      <c r="S33" s="79">
        <v>0</v>
      </c>
      <c r="T33" s="79">
        <v>0</v>
      </c>
      <c r="U33" s="79">
        <f t="shared" si="22"/>
        <v>26</v>
      </c>
      <c r="V33" s="79">
        <v>76</v>
      </c>
      <c r="W33" s="90">
        <f t="shared" si="1"/>
        <v>50</v>
      </c>
      <c r="X33" s="88">
        <f t="shared" si="2"/>
        <v>26</v>
      </c>
      <c r="Y33" s="90">
        <f t="shared" si="3"/>
        <v>25</v>
      </c>
      <c r="Z33" s="79">
        <v>1047</v>
      </c>
      <c r="AA33" s="81">
        <f t="shared" si="4"/>
        <v>13611</v>
      </c>
      <c r="AB33" s="81">
        <f t="shared" si="5"/>
        <v>5444.4000000000005</v>
      </c>
      <c r="AC33" s="81">
        <f t="shared" si="6"/>
        <v>2722.2000000000003</v>
      </c>
      <c r="AD33" s="81">
        <f t="shared" si="7"/>
        <v>2722.2000000000003</v>
      </c>
      <c r="AE33" s="81">
        <f t="shared" si="8"/>
        <v>2722.2000000000003</v>
      </c>
      <c r="AF33" s="82">
        <f t="shared" si="9"/>
        <v>130.875</v>
      </c>
      <c r="AG33" s="81">
        <f t="shared" si="23"/>
        <v>27222</v>
      </c>
      <c r="AH33" s="72">
        <f t="shared" si="24"/>
        <v>13611</v>
      </c>
      <c r="AI33" s="72">
        <f t="shared" si="25"/>
        <v>5444.4000000000005</v>
      </c>
      <c r="AJ33" s="72">
        <f t="shared" si="26"/>
        <v>2722.2000000000003</v>
      </c>
      <c r="AK33" s="72">
        <f t="shared" si="27"/>
        <v>2722.2000000000003</v>
      </c>
      <c r="AL33" s="72">
        <f t="shared" si="28"/>
        <v>2722.2000000000003</v>
      </c>
      <c r="AM33" s="81">
        <f t="shared" si="29"/>
        <v>3402.75</v>
      </c>
      <c r="AN33" s="81">
        <f t="shared" si="11"/>
        <v>6543.75</v>
      </c>
      <c r="AO33" s="81">
        <f t="shared" si="12"/>
        <v>37168.5</v>
      </c>
      <c r="AP33" s="81">
        <f t="shared" si="13"/>
        <v>30624.75</v>
      </c>
      <c r="AQ33" s="83">
        <f t="shared" si="14"/>
        <v>15000</v>
      </c>
      <c r="AR33" s="72">
        <f t="shared" si="15"/>
        <v>0</v>
      </c>
      <c r="AS33" s="72">
        <v>0</v>
      </c>
      <c r="AT33" s="83">
        <f t="shared" si="16"/>
        <v>1800</v>
      </c>
      <c r="AU33" s="177">
        <f>VLOOKUP(D33,'[1]work-sAl'!$B$2:$Z$70,25,0)</f>
        <v>1800</v>
      </c>
      <c r="AV33" s="83">
        <f t="shared" si="17"/>
        <v>0</v>
      </c>
      <c r="AW33" s="177">
        <f>VLOOKUP(D33,'[1]work-sAl'!$B$2:$AA$70,26,0)</f>
        <v>0</v>
      </c>
      <c r="AX33" s="81">
        <v>229</v>
      </c>
      <c r="AY33" s="81">
        <v>1000</v>
      </c>
      <c r="AZ33" s="81">
        <v>0</v>
      </c>
      <c r="BA33" s="81">
        <v>0</v>
      </c>
      <c r="BB33" s="81">
        <f t="shared" si="18"/>
        <v>4829</v>
      </c>
      <c r="BC33" s="81">
        <f t="shared" si="19"/>
        <v>32339.5</v>
      </c>
      <c r="BD33" s="92"/>
      <c r="BE33" s="81">
        <v>0</v>
      </c>
      <c r="BF33" s="85">
        <v>116000</v>
      </c>
      <c r="BG33" s="80">
        <f t="shared" si="20"/>
        <v>116000</v>
      </c>
      <c r="BH33" s="86">
        <f t="shared" si="21"/>
        <v>115000</v>
      </c>
      <c r="BI33" s="65"/>
      <c r="BJ33" s="65"/>
    </row>
    <row r="34" spans="2:62" s="93" customFormat="1" ht="36.200000000000003" customHeight="1" x14ac:dyDescent="0.3">
      <c r="B34" s="71">
        <v>30</v>
      </c>
      <c r="C34" s="88"/>
      <c r="D34" s="73">
        <v>10017</v>
      </c>
      <c r="E34" s="89"/>
      <c r="F34" s="72">
        <v>100189159983</v>
      </c>
      <c r="G34" s="72">
        <v>0</v>
      </c>
      <c r="H34" s="75" t="s">
        <v>164</v>
      </c>
      <c r="I34" s="76"/>
      <c r="J34" s="76" t="s">
        <v>247</v>
      </c>
      <c r="K34" s="77" t="s">
        <v>84</v>
      </c>
      <c r="L34" s="78">
        <v>39518</v>
      </c>
      <c r="M34" s="89"/>
      <c r="N34" s="74">
        <v>46021</v>
      </c>
      <c r="O34" s="74" t="str">
        <f t="shared" si="0"/>
        <v>17 years,9 months</v>
      </c>
      <c r="P34" s="79">
        <v>25</v>
      </c>
      <c r="Q34" s="79">
        <v>0</v>
      </c>
      <c r="R34" s="79">
        <f>VLOOKUP(D34,'[1]work-sAl'!$B$2:$P$39,15,0)</f>
        <v>2</v>
      </c>
      <c r="S34" s="79">
        <v>0</v>
      </c>
      <c r="T34" s="79">
        <v>0</v>
      </c>
      <c r="U34" s="79">
        <f t="shared" si="22"/>
        <v>27</v>
      </c>
      <c r="V34" s="79">
        <v>82</v>
      </c>
      <c r="W34" s="90">
        <f t="shared" si="1"/>
        <v>50</v>
      </c>
      <c r="X34" s="88">
        <f t="shared" si="2"/>
        <v>32</v>
      </c>
      <c r="Y34" s="90">
        <f t="shared" si="3"/>
        <v>25</v>
      </c>
      <c r="Z34" s="79">
        <v>974</v>
      </c>
      <c r="AA34" s="81">
        <f t="shared" si="4"/>
        <v>12662</v>
      </c>
      <c r="AB34" s="81">
        <f t="shared" si="5"/>
        <v>5064.8</v>
      </c>
      <c r="AC34" s="81">
        <f t="shared" si="6"/>
        <v>2532.4</v>
      </c>
      <c r="AD34" s="81">
        <f t="shared" si="7"/>
        <v>2532.4</v>
      </c>
      <c r="AE34" s="81">
        <f t="shared" si="8"/>
        <v>2532.4</v>
      </c>
      <c r="AF34" s="82">
        <f t="shared" si="9"/>
        <v>121.75</v>
      </c>
      <c r="AG34" s="81">
        <f t="shared" si="23"/>
        <v>25324</v>
      </c>
      <c r="AH34" s="72">
        <f t="shared" si="24"/>
        <v>13149</v>
      </c>
      <c r="AI34" s="72">
        <f t="shared" si="25"/>
        <v>5259.6</v>
      </c>
      <c r="AJ34" s="72">
        <f t="shared" si="26"/>
        <v>2629.8</v>
      </c>
      <c r="AK34" s="72">
        <f t="shared" si="27"/>
        <v>2629.8</v>
      </c>
      <c r="AL34" s="72">
        <f t="shared" si="28"/>
        <v>2629.8</v>
      </c>
      <c r="AM34" s="81">
        <f t="shared" si="29"/>
        <v>3896</v>
      </c>
      <c r="AN34" s="81">
        <f t="shared" si="11"/>
        <v>6087.5</v>
      </c>
      <c r="AO34" s="81">
        <f t="shared" si="12"/>
        <v>36281.5</v>
      </c>
      <c r="AP34" s="81">
        <f t="shared" si="13"/>
        <v>30194</v>
      </c>
      <c r="AQ34" s="83">
        <f t="shared" si="14"/>
        <v>15000</v>
      </c>
      <c r="AR34" s="72">
        <f t="shared" si="15"/>
        <v>0</v>
      </c>
      <c r="AS34" s="72">
        <v>0</v>
      </c>
      <c r="AT34" s="83">
        <f t="shared" si="16"/>
        <v>1800</v>
      </c>
      <c r="AU34" s="177">
        <f>VLOOKUP(D34,'[1]work-sAl'!$B$2:$Z$70,25,0)</f>
        <v>1800</v>
      </c>
      <c r="AV34" s="83">
        <f t="shared" si="17"/>
        <v>0</v>
      </c>
      <c r="AW34" s="177">
        <f>VLOOKUP(D34,'[1]work-sAl'!$B$2:$AA$70,26,0)</f>
        <v>0</v>
      </c>
      <c r="AX34" s="81">
        <v>217</v>
      </c>
      <c r="AY34" s="81">
        <v>1500</v>
      </c>
      <c r="AZ34" s="81">
        <v>0</v>
      </c>
      <c r="BA34" s="81">
        <v>0</v>
      </c>
      <c r="BB34" s="81">
        <f t="shared" si="18"/>
        <v>5317</v>
      </c>
      <c r="BC34" s="81">
        <f t="shared" si="19"/>
        <v>30964.5</v>
      </c>
      <c r="BD34" s="92"/>
      <c r="BE34" s="81">
        <v>0</v>
      </c>
      <c r="BF34" s="85">
        <v>203000</v>
      </c>
      <c r="BG34" s="80">
        <f t="shared" si="20"/>
        <v>203000</v>
      </c>
      <c r="BH34" s="86">
        <f t="shared" si="21"/>
        <v>201500</v>
      </c>
      <c r="BI34" s="65"/>
      <c r="BJ34" s="65"/>
    </row>
    <row r="35" spans="2:62" s="93" customFormat="1" ht="36.200000000000003" customHeight="1" x14ac:dyDescent="0.3">
      <c r="B35" s="71">
        <v>31</v>
      </c>
      <c r="C35" s="88"/>
      <c r="D35" s="73">
        <v>10020</v>
      </c>
      <c r="E35" s="89"/>
      <c r="F35" s="72">
        <v>100224356430</v>
      </c>
      <c r="G35" s="72">
        <v>0</v>
      </c>
      <c r="H35" s="75" t="s">
        <v>165</v>
      </c>
      <c r="I35" s="76"/>
      <c r="J35" s="76" t="s">
        <v>247</v>
      </c>
      <c r="K35" s="77" t="s">
        <v>84</v>
      </c>
      <c r="L35" s="78">
        <v>39995</v>
      </c>
      <c r="M35" s="89"/>
      <c r="N35" s="74">
        <v>46021</v>
      </c>
      <c r="O35" s="74" t="str">
        <f t="shared" si="0"/>
        <v>16 years,5 months</v>
      </c>
      <c r="P35" s="79">
        <v>12</v>
      </c>
      <c r="Q35" s="79">
        <v>0</v>
      </c>
      <c r="R35" s="79">
        <f>VLOOKUP(D35,'[1]work-sAl'!$B$2:$P$39,15,0)</f>
        <v>2</v>
      </c>
      <c r="S35" s="79">
        <v>0</v>
      </c>
      <c r="T35" s="79">
        <v>0</v>
      </c>
      <c r="U35" s="79">
        <f t="shared" si="22"/>
        <v>14</v>
      </c>
      <c r="V35" s="79">
        <v>45.5</v>
      </c>
      <c r="W35" s="90">
        <f t="shared" si="1"/>
        <v>45.5</v>
      </c>
      <c r="X35" s="88">
        <f t="shared" si="2"/>
        <v>0</v>
      </c>
      <c r="Y35" s="90">
        <f t="shared" si="3"/>
        <v>22.75</v>
      </c>
      <c r="Z35" s="79">
        <v>888</v>
      </c>
      <c r="AA35" s="81">
        <f t="shared" si="4"/>
        <v>11544</v>
      </c>
      <c r="AB35" s="81">
        <f t="shared" si="5"/>
        <v>4617.6000000000004</v>
      </c>
      <c r="AC35" s="81">
        <f t="shared" si="6"/>
        <v>2308.8000000000002</v>
      </c>
      <c r="AD35" s="81">
        <f t="shared" si="7"/>
        <v>2308.8000000000002</v>
      </c>
      <c r="AE35" s="81">
        <f t="shared" si="8"/>
        <v>2308.8000000000002</v>
      </c>
      <c r="AF35" s="82">
        <f t="shared" si="9"/>
        <v>111</v>
      </c>
      <c r="AG35" s="81">
        <f t="shared" si="23"/>
        <v>23088</v>
      </c>
      <c r="AH35" s="72">
        <f t="shared" si="24"/>
        <v>6216</v>
      </c>
      <c r="AI35" s="72">
        <f t="shared" si="25"/>
        <v>2486.4000000000005</v>
      </c>
      <c r="AJ35" s="72">
        <f t="shared" si="26"/>
        <v>1243.2000000000003</v>
      </c>
      <c r="AK35" s="72">
        <f t="shared" si="27"/>
        <v>1243.2000000000003</v>
      </c>
      <c r="AL35" s="72">
        <f t="shared" si="28"/>
        <v>1243.2000000000003</v>
      </c>
      <c r="AM35" s="81">
        <f t="shared" si="29"/>
        <v>0</v>
      </c>
      <c r="AN35" s="81">
        <f t="shared" si="11"/>
        <v>5050.5</v>
      </c>
      <c r="AO35" s="81">
        <f t="shared" si="12"/>
        <v>17482.500000000004</v>
      </c>
      <c r="AP35" s="81">
        <f t="shared" si="13"/>
        <v>12432.000000000004</v>
      </c>
      <c r="AQ35" s="83">
        <f t="shared" si="14"/>
        <v>9945.6000000000022</v>
      </c>
      <c r="AR35" s="72">
        <f t="shared" si="15"/>
        <v>0</v>
      </c>
      <c r="AS35" s="72">
        <v>0</v>
      </c>
      <c r="AT35" s="83">
        <f t="shared" si="16"/>
        <v>1193.4720000000002</v>
      </c>
      <c r="AU35" s="177">
        <f>VLOOKUP(D35,'[1]work-sAl'!$B$2:$Z$70,25,0)</f>
        <v>1800</v>
      </c>
      <c r="AV35" s="83">
        <f t="shared" si="17"/>
        <v>0</v>
      </c>
      <c r="AW35" s="177">
        <f>VLOOKUP(D35,'[1]work-sAl'!$B$2:$AA$70,26,0)</f>
        <v>0</v>
      </c>
      <c r="AX35" s="81">
        <v>213</v>
      </c>
      <c r="AY35" s="81">
        <v>0</v>
      </c>
      <c r="AZ35" s="81">
        <v>0</v>
      </c>
      <c r="BA35" s="81">
        <v>0</v>
      </c>
      <c r="BB35" s="81">
        <f t="shared" si="18"/>
        <v>3206.4720000000002</v>
      </c>
      <c r="BC35" s="81">
        <f t="shared" si="19"/>
        <v>14276.028000000004</v>
      </c>
      <c r="BD35" s="92"/>
      <c r="BE35" s="81">
        <v>0</v>
      </c>
      <c r="BF35" s="85">
        <v>0</v>
      </c>
      <c r="BG35" s="80">
        <f t="shared" si="20"/>
        <v>0</v>
      </c>
      <c r="BH35" s="86">
        <f t="shared" si="21"/>
        <v>0</v>
      </c>
      <c r="BI35" s="65"/>
      <c r="BJ35" s="65"/>
    </row>
    <row r="36" spans="2:62" s="93" customFormat="1" ht="36.200000000000003" customHeight="1" x14ac:dyDescent="0.3">
      <c r="B36" s="87">
        <v>32</v>
      </c>
      <c r="C36" s="88"/>
      <c r="D36" s="73">
        <v>10030</v>
      </c>
      <c r="E36" s="89"/>
      <c r="F36" s="72">
        <v>100402854742</v>
      </c>
      <c r="G36" s="72">
        <v>5605022247</v>
      </c>
      <c r="H36" s="75" t="s">
        <v>166</v>
      </c>
      <c r="I36" s="76"/>
      <c r="J36" s="76" t="s">
        <v>248</v>
      </c>
      <c r="K36" s="77" t="s">
        <v>84</v>
      </c>
      <c r="L36" s="78">
        <v>41365</v>
      </c>
      <c r="M36" s="89"/>
      <c r="N36" s="74">
        <v>46021</v>
      </c>
      <c r="O36" s="74" t="str">
        <f t="shared" ref="O36:O67" si="30">DATEDIF(L36,N36,"y")&amp;" years,"&amp;DATEDIF(L36,N36,"ym")&amp;" months"</f>
        <v>12 years,8 months</v>
      </c>
      <c r="P36" s="79">
        <v>24</v>
      </c>
      <c r="Q36" s="79">
        <v>0</v>
      </c>
      <c r="R36" s="79">
        <f>VLOOKUP(D36,'[1]work-sAl'!$B$2:$P$39,15,0)</f>
        <v>2</v>
      </c>
      <c r="S36" s="79">
        <v>0</v>
      </c>
      <c r="T36" s="79">
        <v>0</v>
      </c>
      <c r="U36" s="79">
        <f t="shared" si="22"/>
        <v>26</v>
      </c>
      <c r="V36" s="79">
        <v>89</v>
      </c>
      <c r="W36" s="90">
        <f t="shared" ref="W36:W67" si="31">IF(V36&lt;=50,V36,IF(V36&gt;=50,50,))</f>
        <v>50</v>
      </c>
      <c r="X36" s="88">
        <f t="shared" ref="X36:X67" si="32">SUM(V36-W36)</f>
        <v>39</v>
      </c>
      <c r="Y36" s="90">
        <f t="shared" ref="Y36:Y69" si="33">W36/2</f>
        <v>25</v>
      </c>
      <c r="Z36" s="79">
        <v>740</v>
      </c>
      <c r="AA36" s="81">
        <f t="shared" ref="AA36:AA57" si="34">AG36*50%</f>
        <v>9620</v>
      </c>
      <c r="AB36" s="81">
        <f t="shared" ref="AB36:AB57" si="35">AG36*20%</f>
        <v>3848</v>
      </c>
      <c r="AC36" s="81">
        <f t="shared" ref="AC36:AC57" si="36">AG36*10%</f>
        <v>1924</v>
      </c>
      <c r="AD36" s="81">
        <f t="shared" ref="AD36:AD57" si="37">AG36*10%</f>
        <v>1924</v>
      </c>
      <c r="AE36" s="81">
        <f t="shared" ref="AE36:AE57" si="38">AG36*10%</f>
        <v>1924</v>
      </c>
      <c r="AF36" s="82">
        <f t="shared" ref="AF36:AF57" si="39">Z36/8</f>
        <v>92.5</v>
      </c>
      <c r="AG36" s="81">
        <f t="shared" si="23"/>
        <v>19240</v>
      </c>
      <c r="AH36" s="72">
        <f t="shared" si="24"/>
        <v>9620</v>
      </c>
      <c r="AI36" s="72">
        <f t="shared" si="25"/>
        <v>3848</v>
      </c>
      <c r="AJ36" s="72">
        <f t="shared" si="26"/>
        <v>1924</v>
      </c>
      <c r="AK36" s="72">
        <f t="shared" si="27"/>
        <v>1924</v>
      </c>
      <c r="AL36" s="72">
        <f t="shared" si="28"/>
        <v>1924</v>
      </c>
      <c r="AM36" s="81">
        <f t="shared" si="29"/>
        <v>3607.5</v>
      </c>
      <c r="AN36" s="81">
        <f t="shared" ref="AN36:AN57" si="40">SUM(W36*AF36)</f>
        <v>4625</v>
      </c>
      <c r="AO36" s="81">
        <f t="shared" ref="AO36:AO57" si="41">SUM(AH36:AN36)</f>
        <v>27472.5</v>
      </c>
      <c r="AP36" s="81">
        <f t="shared" ref="AP36:AP57" si="42">+AO36-AN36</f>
        <v>22847.5</v>
      </c>
      <c r="AQ36" s="83">
        <f t="shared" ref="AQ36:AQ57" si="43">IF((AO36-AI36-AN36)&gt;=15000,15000,(AO36-AI36-AN36))</f>
        <v>15000</v>
      </c>
      <c r="AR36" s="72">
        <f t="shared" ref="AR36:AR57" si="44">IF(AG36&gt;21000,0,IF(((AO36)*90/100)&gt;21000,21000,((AO36)*90/100)))</f>
        <v>21000</v>
      </c>
      <c r="AS36" s="72">
        <v>0</v>
      </c>
      <c r="AT36" s="83">
        <f t="shared" ref="AT36:AT57" si="45">AQ36*12%</f>
        <v>1800</v>
      </c>
      <c r="AU36" s="177">
        <f>VLOOKUP(D36,'[1]work-sAl'!$B$2:$Z$70,25,0)</f>
        <v>1800</v>
      </c>
      <c r="AV36" s="83">
        <f t="shared" ref="AV36:AV57" si="46">AR36*0.75%</f>
        <v>157.5</v>
      </c>
      <c r="AW36" s="177">
        <f>VLOOKUP(D36,'[1]work-sAl'!$B$2:$AA$70,26,0)</f>
        <v>195</v>
      </c>
      <c r="AX36" s="81">
        <v>0</v>
      </c>
      <c r="AY36" s="81">
        <v>1500</v>
      </c>
      <c r="AZ36" s="81">
        <v>0</v>
      </c>
      <c r="BA36" s="81">
        <v>0</v>
      </c>
      <c r="BB36" s="81">
        <f t="shared" ref="BB36:BB57" si="47">SUM(AT36:BA36)</f>
        <v>5452.5</v>
      </c>
      <c r="BC36" s="81">
        <f t="shared" ref="BC36:BC57" si="48">+AO36-BB36+AS36</f>
        <v>22020</v>
      </c>
      <c r="BD36" s="92"/>
      <c r="BE36" s="81">
        <v>0</v>
      </c>
      <c r="BF36" s="85">
        <v>273500</v>
      </c>
      <c r="BG36" s="80">
        <f t="shared" ref="BG36:BG57" si="49">BE36+BF36</f>
        <v>273500</v>
      </c>
      <c r="BH36" s="86">
        <f t="shared" ref="BH36:BH57" si="50">BG36-AY36</f>
        <v>272000</v>
      </c>
      <c r="BI36" s="65"/>
      <c r="BJ36" s="65"/>
    </row>
    <row r="37" spans="2:62" s="93" customFormat="1" ht="36.200000000000003" customHeight="1" x14ac:dyDescent="0.3">
      <c r="B37" s="71">
        <v>33</v>
      </c>
      <c r="C37" s="88"/>
      <c r="D37" s="73">
        <v>10033</v>
      </c>
      <c r="E37" s="89"/>
      <c r="F37" s="72">
        <v>101269594810</v>
      </c>
      <c r="G37" s="72">
        <v>5607299977</v>
      </c>
      <c r="H37" s="75" t="s">
        <v>167</v>
      </c>
      <c r="I37" s="76"/>
      <c r="J37" s="76" t="s">
        <v>248</v>
      </c>
      <c r="K37" s="77" t="s">
        <v>84</v>
      </c>
      <c r="L37" s="78">
        <v>42038</v>
      </c>
      <c r="M37" s="89"/>
      <c r="N37" s="74">
        <v>46021</v>
      </c>
      <c r="O37" s="74" t="str">
        <f t="shared" si="30"/>
        <v>10 years,10 months</v>
      </c>
      <c r="P37" s="79">
        <v>19.5</v>
      </c>
      <c r="Q37" s="79">
        <v>0</v>
      </c>
      <c r="R37" s="79">
        <f>VLOOKUP(D37,'[1]work-sAl'!$B$2:$P$39,15,0)</f>
        <v>2</v>
      </c>
      <c r="S37" s="79">
        <v>0</v>
      </c>
      <c r="T37" s="79">
        <v>0</v>
      </c>
      <c r="U37" s="79">
        <f t="shared" si="22"/>
        <v>21.5</v>
      </c>
      <c r="V37" s="79">
        <v>60</v>
      </c>
      <c r="W37" s="90">
        <f t="shared" si="31"/>
        <v>50</v>
      </c>
      <c r="X37" s="88">
        <f t="shared" si="32"/>
        <v>10</v>
      </c>
      <c r="Y37" s="90">
        <f t="shared" si="33"/>
        <v>25</v>
      </c>
      <c r="Z37" s="79">
        <v>730</v>
      </c>
      <c r="AA37" s="81">
        <f t="shared" si="34"/>
        <v>9490</v>
      </c>
      <c r="AB37" s="81">
        <f t="shared" si="35"/>
        <v>3796</v>
      </c>
      <c r="AC37" s="81">
        <f t="shared" si="36"/>
        <v>1898</v>
      </c>
      <c r="AD37" s="81">
        <f t="shared" si="37"/>
        <v>1898</v>
      </c>
      <c r="AE37" s="81">
        <f t="shared" si="38"/>
        <v>1898</v>
      </c>
      <c r="AF37" s="82">
        <f t="shared" si="39"/>
        <v>91.25</v>
      </c>
      <c r="AG37" s="81">
        <f t="shared" si="23"/>
        <v>18980</v>
      </c>
      <c r="AH37" s="72">
        <f t="shared" si="24"/>
        <v>7847.5</v>
      </c>
      <c r="AI37" s="72">
        <f t="shared" si="25"/>
        <v>3139</v>
      </c>
      <c r="AJ37" s="72">
        <f t="shared" si="26"/>
        <v>1569.5</v>
      </c>
      <c r="AK37" s="72">
        <f t="shared" si="27"/>
        <v>1569.5</v>
      </c>
      <c r="AL37" s="72">
        <f t="shared" si="28"/>
        <v>1569.5</v>
      </c>
      <c r="AM37" s="81">
        <f t="shared" si="29"/>
        <v>912.5</v>
      </c>
      <c r="AN37" s="81">
        <f t="shared" si="40"/>
        <v>4562.5</v>
      </c>
      <c r="AO37" s="81">
        <f t="shared" si="41"/>
        <v>21170</v>
      </c>
      <c r="AP37" s="81">
        <f t="shared" si="42"/>
        <v>16607.5</v>
      </c>
      <c r="AQ37" s="83">
        <f t="shared" si="43"/>
        <v>13468.5</v>
      </c>
      <c r="AR37" s="72">
        <f t="shared" si="44"/>
        <v>19053</v>
      </c>
      <c r="AS37" s="72">
        <v>0</v>
      </c>
      <c r="AT37" s="83">
        <f t="shared" si="45"/>
        <v>1616.22</v>
      </c>
      <c r="AU37" s="177">
        <f>VLOOKUP(D37,'[1]work-sAl'!$B$2:$Z$70,25,0)</f>
        <v>1772</v>
      </c>
      <c r="AV37" s="83">
        <f t="shared" si="46"/>
        <v>142.89750000000001</v>
      </c>
      <c r="AW37" s="177">
        <f>VLOOKUP(D37,'[1]work-sAl'!$B$2:$AA$70,26,0)</f>
        <v>152</v>
      </c>
      <c r="AX37" s="81">
        <v>0</v>
      </c>
      <c r="AY37" s="81">
        <v>1000</v>
      </c>
      <c r="AZ37" s="81">
        <v>0</v>
      </c>
      <c r="BA37" s="81">
        <v>0</v>
      </c>
      <c r="BB37" s="81">
        <f t="shared" si="47"/>
        <v>4683.1175000000003</v>
      </c>
      <c r="BC37" s="81">
        <f t="shared" si="48"/>
        <v>16486.8825</v>
      </c>
      <c r="BD37" s="92"/>
      <c r="BE37" s="81">
        <v>0</v>
      </c>
      <c r="BF37" s="85">
        <v>59000</v>
      </c>
      <c r="BG37" s="80">
        <f t="shared" si="49"/>
        <v>59000</v>
      </c>
      <c r="BH37" s="86">
        <f t="shared" si="50"/>
        <v>58000</v>
      </c>
      <c r="BI37" s="65"/>
      <c r="BJ37" s="65"/>
    </row>
    <row r="38" spans="2:62" s="93" customFormat="1" ht="36.200000000000003" customHeight="1" x14ac:dyDescent="0.3">
      <c r="B38" s="87">
        <v>34</v>
      </c>
      <c r="C38" s="88"/>
      <c r="D38" s="73">
        <v>10044</v>
      </c>
      <c r="E38" s="89"/>
      <c r="F38" s="72">
        <v>101125943113</v>
      </c>
      <c r="G38" s="72">
        <v>5607762164</v>
      </c>
      <c r="H38" s="75" t="s">
        <v>168</v>
      </c>
      <c r="I38" s="76"/>
      <c r="J38" s="76" t="s">
        <v>248</v>
      </c>
      <c r="K38" s="77" t="s">
        <v>84</v>
      </c>
      <c r="L38" s="78">
        <v>43416</v>
      </c>
      <c r="M38" s="89"/>
      <c r="N38" s="74">
        <v>46021</v>
      </c>
      <c r="O38" s="74" t="str">
        <f t="shared" si="30"/>
        <v>7 years,1 months</v>
      </c>
      <c r="P38" s="79">
        <v>23</v>
      </c>
      <c r="Q38" s="79">
        <v>0</v>
      </c>
      <c r="R38" s="79">
        <f>VLOOKUP(D38,'[1]work-sAl'!$B$2:$P$39,15,0)</f>
        <v>2</v>
      </c>
      <c r="S38" s="79">
        <v>0</v>
      </c>
      <c r="T38" s="79">
        <v>0</v>
      </c>
      <c r="U38" s="79">
        <f t="shared" si="22"/>
        <v>25</v>
      </c>
      <c r="V38" s="79">
        <v>50</v>
      </c>
      <c r="W38" s="90">
        <f t="shared" si="31"/>
        <v>50</v>
      </c>
      <c r="X38" s="88">
        <f t="shared" si="32"/>
        <v>0</v>
      </c>
      <c r="Y38" s="90">
        <f t="shared" si="33"/>
        <v>25</v>
      </c>
      <c r="Z38" s="79">
        <v>725</v>
      </c>
      <c r="AA38" s="81">
        <f t="shared" si="34"/>
        <v>9425</v>
      </c>
      <c r="AB38" s="81">
        <f t="shared" si="35"/>
        <v>3770</v>
      </c>
      <c r="AC38" s="81">
        <f t="shared" si="36"/>
        <v>1885</v>
      </c>
      <c r="AD38" s="81">
        <f t="shared" si="37"/>
        <v>1885</v>
      </c>
      <c r="AE38" s="81">
        <f t="shared" si="38"/>
        <v>1885</v>
      </c>
      <c r="AF38" s="82">
        <f t="shared" si="39"/>
        <v>90.625</v>
      </c>
      <c r="AG38" s="81">
        <f t="shared" si="23"/>
        <v>18850</v>
      </c>
      <c r="AH38" s="72">
        <f t="shared" si="24"/>
        <v>9062.5</v>
      </c>
      <c r="AI38" s="72">
        <f t="shared" si="25"/>
        <v>3625</v>
      </c>
      <c r="AJ38" s="72">
        <f t="shared" si="26"/>
        <v>1812.5</v>
      </c>
      <c r="AK38" s="72">
        <f t="shared" si="27"/>
        <v>1812.5</v>
      </c>
      <c r="AL38" s="72">
        <f t="shared" si="28"/>
        <v>1812.5</v>
      </c>
      <c r="AM38" s="81">
        <f t="shared" si="29"/>
        <v>0</v>
      </c>
      <c r="AN38" s="81">
        <f t="shared" si="40"/>
        <v>4531.25</v>
      </c>
      <c r="AO38" s="81">
        <f t="shared" si="41"/>
        <v>22656.25</v>
      </c>
      <c r="AP38" s="81">
        <f t="shared" si="42"/>
        <v>18125</v>
      </c>
      <c r="AQ38" s="83">
        <f t="shared" si="43"/>
        <v>14500</v>
      </c>
      <c r="AR38" s="72">
        <f t="shared" si="44"/>
        <v>20390.625</v>
      </c>
      <c r="AS38" s="72">
        <v>0</v>
      </c>
      <c r="AT38" s="83">
        <f t="shared" si="45"/>
        <v>1740</v>
      </c>
      <c r="AU38" s="177">
        <f>VLOOKUP(D38,'[1]work-sAl'!$B$2:$Z$70,25,0)</f>
        <v>1800</v>
      </c>
      <c r="AV38" s="83">
        <f t="shared" si="46"/>
        <v>152.9296875</v>
      </c>
      <c r="AW38" s="177">
        <f>VLOOKUP(D38,'[1]work-sAl'!$B$2:$AA$70,26,0)</f>
        <v>162</v>
      </c>
      <c r="AX38" s="81">
        <v>0</v>
      </c>
      <c r="AY38" s="81">
        <v>1000</v>
      </c>
      <c r="AZ38" s="81">
        <v>0</v>
      </c>
      <c r="BA38" s="81">
        <v>0</v>
      </c>
      <c r="BB38" s="81">
        <f t="shared" si="47"/>
        <v>4854.9296875</v>
      </c>
      <c r="BC38" s="81">
        <f t="shared" si="48"/>
        <v>17801.3203125</v>
      </c>
      <c r="BD38" s="92"/>
      <c r="BE38" s="81">
        <v>0</v>
      </c>
      <c r="BF38" s="85">
        <v>74000</v>
      </c>
      <c r="BG38" s="80">
        <f t="shared" si="49"/>
        <v>74000</v>
      </c>
      <c r="BH38" s="86">
        <f t="shared" si="50"/>
        <v>73000</v>
      </c>
      <c r="BI38" s="65"/>
      <c r="BJ38" s="65"/>
    </row>
    <row r="39" spans="2:62" s="93" customFormat="1" ht="36.200000000000003" customHeight="1" x14ac:dyDescent="0.3">
      <c r="B39" s="71">
        <v>35</v>
      </c>
      <c r="C39" s="88"/>
      <c r="D39" s="73">
        <v>10049</v>
      </c>
      <c r="E39" s="89"/>
      <c r="F39" s="72">
        <v>101766898594</v>
      </c>
      <c r="G39" s="72">
        <v>5609904437</v>
      </c>
      <c r="H39" s="75" t="s">
        <v>169</v>
      </c>
      <c r="I39" s="76"/>
      <c r="J39" s="76" t="s">
        <v>248</v>
      </c>
      <c r="K39" s="77" t="s">
        <v>84</v>
      </c>
      <c r="L39" s="78">
        <v>44635</v>
      </c>
      <c r="M39" s="89"/>
      <c r="N39" s="74">
        <v>46021</v>
      </c>
      <c r="O39" s="74" t="str">
        <f t="shared" si="30"/>
        <v>3 years,9 months</v>
      </c>
      <c r="P39" s="79">
        <v>26</v>
      </c>
      <c r="Q39" s="79">
        <v>0</v>
      </c>
      <c r="R39" s="79">
        <f>VLOOKUP(D39,'[1]work-sAl'!$B$2:$P$39,15,0)</f>
        <v>1</v>
      </c>
      <c r="S39" s="79">
        <v>0</v>
      </c>
      <c r="T39" s="79">
        <v>0</v>
      </c>
      <c r="U39" s="79">
        <f t="shared" si="22"/>
        <v>27</v>
      </c>
      <c r="V39" s="79">
        <v>55.5</v>
      </c>
      <c r="W39" s="90">
        <f t="shared" si="31"/>
        <v>50</v>
      </c>
      <c r="X39" s="88">
        <f t="shared" si="32"/>
        <v>5.5</v>
      </c>
      <c r="Y39" s="90">
        <f t="shared" si="33"/>
        <v>25</v>
      </c>
      <c r="Z39" s="79">
        <v>871</v>
      </c>
      <c r="AA39" s="81">
        <f t="shared" si="34"/>
        <v>11323</v>
      </c>
      <c r="AB39" s="81">
        <f t="shared" si="35"/>
        <v>4529.2</v>
      </c>
      <c r="AC39" s="81">
        <f t="shared" si="36"/>
        <v>2264.6</v>
      </c>
      <c r="AD39" s="81">
        <f t="shared" si="37"/>
        <v>2264.6</v>
      </c>
      <c r="AE39" s="81">
        <f t="shared" si="38"/>
        <v>2264.6</v>
      </c>
      <c r="AF39" s="82">
        <f t="shared" si="39"/>
        <v>108.875</v>
      </c>
      <c r="AG39" s="81">
        <f t="shared" si="23"/>
        <v>22646</v>
      </c>
      <c r="AH39" s="72">
        <f t="shared" si="24"/>
        <v>11758.5</v>
      </c>
      <c r="AI39" s="72">
        <f t="shared" si="25"/>
        <v>4703.3999999999996</v>
      </c>
      <c r="AJ39" s="72">
        <f t="shared" si="26"/>
        <v>2351.6999999999998</v>
      </c>
      <c r="AK39" s="72">
        <f t="shared" si="27"/>
        <v>2351.6999999999998</v>
      </c>
      <c r="AL39" s="72">
        <f t="shared" si="28"/>
        <v>2351.6999999999998</v>
      </c>
      <c r="AM39" s="81">
        <f t="shared" si="29"/>
        <v>598.8125</v>
      </c>
      <c r="AN39" s="81">
        <f t="shared" si="40"/>
        <v>5443.75</v>
      </c>
      <c r="AO39" s="81">
        <f t="shared" si="41"/>
        <v>29559.562500000004</v>
      </c>
      <c r="AP39" s="81">
        <f t="shared" si="42"/>
        <v>24115.812500000004</v>
      </c>
      <c r="AQ39" s="83">
        <f t="shared" si="43"/>
        <v>15000</v>
      </c>
      <c r="AR39" s="72">
        <f t="shared" si="44"/>
        <v>0</v>
      </c>
      <c r="AS39" s="72">
        <v>0</v>
      </c>
      <c r="AT39" s="83">
        <f t="shared" si="45"/>
        <v>1800</v>
      </c>
      <c r="AU39" s="177">
        <f>VLOOKUP(D39,'[1]work-sAl'!$B$2:$Z$70,25,0)</f>
        <v>1800</v>
      </c>
      <c r="AV39" s="83">
        <f t="shared" si="46"/>
        <v>0</v>
      </c>
      <c r="AW39" s="177">
        <f>VLOOKUP(D39,'[1]work-sAl'!$B$2:$AA$70,26,0)</f>
        <v>0</v>
      </c>
      <c r="AX39" s="81">
        <v>0</v>
      </c>
      <c r="AY39" s="81">
        <v>0</v>
      </c>
      <c r="AZ39" s="81">
        <v>0</v>
      </c>
      <c r="BA39" s="81">
        <v>0</v>
      </c>
      <c r="BB39" s="81">
        <f t="shared" si="47"/>
        <v>3600</v>
      </c>
      <c r="BC39" s="81">
        <f t="shared" si="48"/>
        <v>25959.562500000004</v>
      </c>
      <c r="BD39" s="92"/>
      <c r="BE39" s="81">
        <v>0</v>
      </c>
      <c r="BF39" s="85">
        <v>0</v>
      </c>
      <c r="BG39" s="80">
        <f t="shared" si="49"/>
        <v>0</v>
      </c>
      <c r="BH39" s="86">
        <f t="shared" si="50"/>
        <v>0</v>
      </c>
      <c r="BI39" s="65"/>
      <c r="BJ39" s="65"/>
    </row>
    <row r="40" spans="2:62" s="93" customFormat="1" ht="36.200000000000003" customHeight="1" x14ac:dyDescent="0.3">
      <c r="B40" s="71">
        <v>36</v>
      </c>
      <c r="C40" s="88"/>
      <c r="D40" s="73">
        <v>10051</v>
      </c>
      <c r="E40" s="89"/>
      <c r="F40" s="72">
        <v>102048949627</v>
      </c>
      <c r="G40" s="72">
        <v>5610462532</v>
      </c>
      <c r="H40" s="75" t="s">
        <v>170</v>
      </c>
      <c r="I40" s="76"/>
      <c r="J40" s="76" t="s">
        <v>248</v>
      </c>
      <c r="K40" s="77" t="s">
        <v>84</v>
      </c>
      <c r="L40" s="78">
        <v>44223</v>
      </c>
      <c r="M40" s="89"/>
      <c r="N40" s="74">
        <v>46021</v>
      </c>
      <c r="O40" s="74" t="str">
        <f t="shared" si="30"/>
        <v>4 years,11 months</v>
      </c>
      <c r="P40" s="79">
        <v>26</v>
      </c>
      <c r="Q40" s="79">
        <v>0</v>
      </c>
      <c r="R40" s="79">
        <f>VLOOKUP(D40,'[1]work-sAl'!$B$2:$P$39,15,0)</f>
        <v>1</v>
      </c>
      <c r="S40" s="79">
        <v>0</v>
      </c>
      <c r="T40" s="79">
        <v>0</v>
      </c>
      <c r="U40" s="79">
        <f t="shared" si="22"/>
        <v>27</v>
      </c>
      <c r="V40" s="79">
        <v>88.5</v>
      </c>
      <c r="W40" s="90">
        <f t="shared" si="31"/>
        <v>50</v>
      </c>
      <c r="X40" s="88">
        <f t="shared" si="32"/>
        <v>38.5</v>
      </c>
      <c r="Y40" s="90">
        <f t="shared" si="33"/>
        <v>25</v>
      </c>
      <c r="Z40" s="79">
        <v>620</v>
      </c>
      <c r="AA40" s="81">
        <f t="shared" si="34"/>
        <v>8060</v>
      </c>
      <c r="AB40" s="81">
        <f t="shared" si="35"/>
        <v>3224</v>
      </c>
      <c r="AC40" s="81">
        <f t="shared" si="36"/>
        <v>1612</v>
      </c>
      <c r="AD40" s="81">
        <f t="shared" si="37"/>
        <v>1612</v>
      </c>
      <c r="AE40" s="81">
        <f t="shared" si="38"/>
        <v>1612</v>
      </c>
      <c r="AF40" s="82">
        <f t="shared" si="39"/>
        <v>77.5</v>
      </c>
      <c r="AG40" s="81">
        <f t="shared" si="23"/>
        <v>16120</v>
      </c>
      <c r="AH40" s="72">
        <f t="shared" si="24"/>
        <v>8370</v>
      </c>
      <c r="AI40" s="72">
        <f t="shared" si="25"/>
        <v>3348</v>
      </c>
      <c r="AJ40" s="72">
        <f t="shared" si="26"/>
        <v>1674</v>
      </c>
      <c r="AK40" s="72">
        <f t="shared" si="27"/>
        <v>1674</v>
      </c>
      <c r="AL40" s="72">
        <f t="shared" si="28"/>
        <v>1674</v>
      </c>
      <c r="AM40" s="81">
        <f t="shared" si="29"/>
        <v>2983.75</v>
      </c>
      <c r="AN40" s="81">
        <f t="shared" si="40"/>
        <v>3875</v>
      </c>
      <c r="AO40" s="81">
        <f t="shared" si="41"/>
        <v>23598.75</v>
      </c>
      <c r="AP40" s="81">
        <f t="shared" si="42"/>
        <v>19723.75</v>
      </c>
      <c r="AQ40" s="83">
        <f t="shared" si="43"/>
        <v>15000</v>
      </c>
      <c r="AR40" s="72">
        <f t="shared" si="44"/>
        <v>21000</v>
      </c>
      <c r="AS40" s="72">
        <v>0</v>
      </c>
      <c r="AT40" s="83">
        <f t="shared" si="45"/>
        <v>1800</v>
      </c>
      <c r="AU40" s="177">
        <f>VLOOKUP(D40,'[1]work-sAl'!$B$2:$Z$70,25,0)</f>
        <v>1800</v>
      </c>
      <c r="AV40" s="83">
        <f t="shared" si="46"/>
        <v>157.5</v>
      </c>
      <c r="AW40" s="177">
        <f>VLOOKUP(D40,'[1]work-sAl'!$B$2:$AA$70,26,0)</f>
        <v>168</v>
      </c>
      <c r="AX40" s="81">
        <v>0</v>
      </c>
      <c r="AY40" s="81">
        <v>4000</v>
      </c>
      <c r="AZ40" s="81">
        <v>0</v>
      </c>
      <c r="BA40" s="81">
        <v>0</v>
      </c>
      <c r="BB40" s="81">
        <f t="shared" si="47"/>
        <v>7925.5</v>
      </c>
      <c r="BC40" s="81">
        <f t="shared" si="48"/>
        <v>15673.25</v>
      </c>
      <c r="BD40" s="92"/>
      <c r="BE40" s="81">
        <v>0</v>
      </c>
      <c r="BF40" s="85">
        <v>211000</v>
      </c>
      <c r="BG40" s="80">
        <f t="shared" si="49"/>
        <v>211000</v>
      </c>
      <c r="BH40" s="86">
        <f t="shared" si="50"/>
        <v>207000</v>
      </c>
      <c r="BI40" s="65"/>
      <c r="BJ40" s="65"/>
    </row>
    <row r="41" spans="2:62" s="93" customFormat="1" ht="36.200000000000003" customHeight="1" x14ac:dyDescent="0.3">
      <c r="B41" s="87">
        <v>37</v>
      </c>
      <c r="C41" s="88"/>
      <c r="D41" s="73">
        <v>10092</v>
      </c>
      <c r="E41" s="89"/>
      <c r="F41" s="72">
        <v>102202240982</v>
      </c>
      <c r="G41" s="72">
        <v>5611263656</v>
      </c>
      <c r="H41" s="75" t="s">
        <v>171</v>
      </c>
      <c r="I41" s="76"/>
      <c r="J41" s="76" t="s">
        <v>248</v>
      </c>
      <c r="K41" s="77" t="s">
        <v>84</v>
      </c>
      <c r="L41" s="78">
        <v>45248</v>
      </c>
      <c r="M41" s="89"/>
      <c r="N41" s="74">
        <v>46021</v>
      </c>
      <c r="O41" s="74" t="str">
        <f t="shared" si="30"/>
        <v>2 years,1 months</v>
      </c>
      <c r="P41" s="79">
        <v>25</v>
      </c>
      <c r="Q41" s="79">
        <v>0</v>
      </c>
      <c r="R41" s="79">
        <f>VLOOKUP(D41,'[1]work-sAl'!$B$2:$P$39,15,0)</f>
        <v>2</v>
      </c>
      <c r="S41" s="79">
        <v>0</v>
      </c>
      <c r="T41" s="79">
        <v>0</v>
      </c>
      <c r="U41" s="79">
        <f t="shared" si="22"/>
        <v>27</v>
      </c>
      <c r="V41" s="79">
        <v>72.5</v>
      </c>
      <c r="W41" s="90">
        <f t="shared" si="31"/>
        <v>50</v>
      </c>
      <c r="X41" s="88">
        <f t="shared" si="32"/>
        <v>22.5</v>
      </c>
      <c r="Y41" s="90">
        <f t="shared" si="33"/>
        <v>25</v>
      </c>
      <c r="Z41" s="79">
        <v>510</v>
      </c>
      <c r="AA41" s="81">
        <f t="shared" si="34"/>
        <v>6630</v>
      </c>
      <c r="AB41" s="81">
        <f t="shared" si="35"/>
        <v>2652</v>
      </c>
      <c r="AC41" s="81">
        <f t="shared" si="36"/>
        <v>1326</v>
      </c>
      <c r="AD41" s="81">
        <f t="shared" si="37"/>
        <v>1326</v>
      </c>
      <c r="AE41" s="81">
        <f t="shared" si="38"/>
        <v>1326</v>
      </c>
      <c r="AF41" s="82">
        <f t="shared" si="39"/>
        <v>63.75</v>
      </c>
      <c r="AG41" s="81">
        <f t="shared" si="23"/>
        <v>13260</v>
      </c>
      <c r="AH41" s="72">
        <f t="shared" si="24"/>
        <v>6885</v>
      </c>
      <c r="AI41" s="72">
        <f t="shared" si="25"/>
        <v>2754</v>
      </c>
      <c r="AJ41" s="72">
        <f t="shared" si="26"/>
        <v>1377</v>
      </c>
      <c r="AK41" s="72">
        <f t="shared" si="27"/>
        <v>1377</v>
      </c>
      <c r="AL41" s="72">
        <f t="shared" si="28"/>
        <v>1377</v>
      </c>
      <c r="AM41" s="81">
        <f t="shared" si="29"/>
        <v>1434.375</v>
      </c>
      <c r="AN41" s="81">
        <f t="shared" si="40"/>
        <v>3187.5</v>
      </c>
      <c r="AO41" s="81">
        <f t="shared" si="41"/>
        <v>18391.875</v>
      </c>
      <c r="AP41" s="81">
        <f t="shared" si="42"/>
        <v>15204.375</v>
      </c>
      <c r="AQ41" s="83">
        <f t="shared" si="43"/>
        <v>12450.375</v>
      </c>
      <c r="AR41" s="72">
        <f t="shared" si="44"/>
        <v>16552.6875</v>
      </c>
      <c r="AS41" s="72">
        <v>0</v>
      </c>
      <c r="AT41" s="83">
        <f t="shared" si="45"/>
        <v>1494.0449999999998</v>
      </c>
      <c r="AU41" s="177">
        <f>VLOOKUP(D41,'[1]work-sAl'!$B$2:$Z$70,25,0)</f>
        <v>1518</v>
      </c>
      <c r="AV41" s="83">
        <f t="shared" si="46"/>
        <v>124.14515625</v>
      </c>
      <c r="AW41" s="177">
        <f>VLOOKUP(D41,'[1]work-sAl'!$B$2:$AA$70,26,0)</f>
        <v>129</v>
      </c>
      <c r="AX41" s="81">
        <v>0</v>
      </c>
      <c r="AY41" s="81">
        <v>5000</v>
      </c>
      <c r="AZ41" s="81">
        <v>0</v>
      </c>
      <c r="BA41" s="81">
        <v>0</v>
      </c>
      <c r="BB41" s="81">
        <f t="shared" si="47"/>
        <v>8265.1901562500007</v>
      </c>
      <c r="BC41" s="81">
        <f t="shared" si="48"/>
        <v>10126.684843749999</v>
      </c>
      <c r="BD41" s="92"/>
      <c r="BE41" s="81">
        <v>0</v>
      </c>
      <c r="BF41" s="85">
        <v>34500</v>
      </c>
      <c r="BG41" s="80">
        <f t="shared" si="49"/>
        <v>34500</v>
      </c>
      <c r="BH41" s="86">
        <f t="shared" si="50"/>
        <v>29500</v>
      </c>
      <c r="BI41" s="65"/>
      <c r="BJ41" s="65"/>
    </row>
    <row r="42" spans="2:62" s="93" customFormat="1" ht="36.200000000000003" customHeight="1" x14ac:dyDescent="0.3">
      <c r="B42" s="71">
        <v>38</v>
      </c>
      <c r="C42" s="88"/>
      <c r="D42" s="73">
        <v>10100</v>
      </c>
      <c r="E42" s="89"/>
      <c r="F42" s="72">
        <v>100186329515</v>
      </c>
      <c r="G42" s="72">
        <v>5611269031</v>
      </c>
      <c r="H42" s="75" t="s">
        <v>172</v>
      </c>
      <c r="I42" s="76"/>
      <c r="J42" s="76" t="s">
        <v>248</v>
      </c>
      <c r="K42" s="77" t="s">
        <v>84</v>
      </c>
      <c r="L42" s="78">
        <v>45265</v>
      </c>
      <c r="M42" s="89"/>
      <c r="N42" s="74">
        <v>46021</v>
      </c>
      <c r="O42" s="74" t="str">
        <f t="shared" si="30"/>
        <v>2 years,0 months</v>
      </c>
      <c r="P42" s="79">
        <v>25</v>
      </c>
      <c r="Q42" s="79">
        <v>0</v>
      </c>
      <c r="R42" s="79">
        <f>VLOOKUP(D42,'[1]work-sAl'!$B$2:$P$39,15,0)</f>
        <v>2</v>
      </c>
      <c r="S42" s="79">
        <v>0</v>
      </c>
      <c r="T42" s="79">
        <v>0</v>
      </c>
      <c r="U42" s="79">
        <f t="shared" si="22"/>
        <v>27</v>
      </c>
      <c r="V42" s="79">
        <v>78</v>
      </c>
      <c r="W42" s="90">
        <f t="shared" si="31"/>
        <v>50</v>
      </c>
      <c r="X42" s="88">
        <f t="shared" si="32"/>
        <v>28</v>
      </c>
      <c r="Y42" s="90">
        <f t="shared" si="33"/>
        <v>25</v>
      </c>
      <c r="Z42" s="79">
        <v>650</v>
      </c>
      <c r="AA42" s="81">
        <f t="shared" si="34"/>
        <v>8450</v>
      </c>
      <c r="AB42" s="81">
        <f t="shared" si="35"/>
        <v>3380</v>
      </c>
      <c r="AC42" s="81">
        <f t="shared" si="36"/>
        <v>1690</v>
      </c>
      <c r="AD42" s="81">
        <f t="shared" si="37"/>
        <v>1690</v>
      </c>
      <c r="AE42" s="81">
        <f t="shared" si="38"/>
        <v>1690</v>
      </c>
      <c r="AF42" s="82">
        <f t="shared" si="39"/>
        <v>81.25</v>
      </c>
      <c r="AG42" s="81">
        <f t="shared" si="23"/>
        <v>16900</v>
      </c>
      <c r="AH42" s="72">
        <f t="shared" si="24"/>
        <v>8775</v>
      </c>
      <c r="AI42" s="72">
        <f t="shared" si="25"/>
        <v>3510</v>
      </c>
      <c r="AJ42" s="72">
        <f t="shared" si="26"/>
        <v>1755</v>
      </c>
      <c r="AK42" s="72">
        <f t="shared" si="27"/>
        <v>1755</v>
      </c>
      <c r="AL42" s="72">
        <f t="shared" si="28"/>
        <v>1755</v>
      </c>
      <c r="AM42" s="81">
        <f t="shared" si="29"/>
        <v>2275</v>
      </c>
      <c r="AN42" s="81">
        <f t="shared" si="40"/>
        <v>4062.5</v>
      </c>
      <c r="AO42" s="81">
        <f t="shared" si="41"/>
        <v>23887.5</v>
      </c>
      <c r="AP42" s="81">
        <f t="shared" si="42"/>
        <v>19825</v>
      </c>
      <c r="AQ42" s="83">
        <f t="shared" si="43"/>
        <v>15000</v>
      </c>
      <c r="AR42" s="72">
        <f t="shared" si="44"/>
        <v>21000</v>
      </c>
      <c r="AS42" s="72">
        <v>0</v>
      </c>
      <c r="AT42" s="83">
        <f t="shared" si="45"/>
        <v>1800</v>
      </c>
      <c r="AU42" s="177">
        <f>VLOOKUP(D42,'[1]work-sAl'!$B$2:$Z$70,25,0)</f>
        <v>1800</v>
      </c>
      <c r="AV42" s="83">
        <f t="shared" si="46"/>
        <v>157.5</v>
      </c>
      <c r="AW42" s="177">
        <f>VLOOKUP(D42,'[1]work-sAl'!$B$2:$AA$70,26,0)</f>
        <v>169</v>
      </c>
      <c r="AX42" s="81">
        <v>0</v>
      </c>
      <c r="AY42" s="81">
        <v>1000</v>
      </c>
      <c r="AZ42" s="81">
        <v>0</v>
      </c>
      <c r="BA42" s="81">
        <v>0</v>
      </c>
      <c r="BB42" s="81">
        <f t="shared" si="47"/>
        <v>4926.5</v>
      </c>
      <c r="BC42" s="81">
        <f t="shared" si="48"/>
        <v>18961</v>
      </c>
      <c r="BD42" s="92"/>
      <c r="BE42" s="81">
        <v>0</v>
      </c>
      <c r="BF42" s="85">
        <v>11000</v>
      </c>
      <c r="BG42" s="80">
        <f t="shared" si="49"/>
        <v>11000</v>
      </c>
      <c r="BH42" s="86">
        <f t="shared" si="50"/>
        <v>10000</v>
      </c>
      <c r="BI42" s="65"/>
      <c r="BJ42" s="65"/>
    </row>
    <row r="43" spans="2:62" s="93" customFormat="1" ht="36.200000000000003" customHeight="1" x14ac:dyDescent="0.3">
      <c r="B43" s="87">
        <v>39</v>
      </c>
      <c r="C43" s="88"/>
      <c r="D43" s="73">
        <v>10012</v>
      </c>
      <c r="E43" s="89"/>
      <c r="F43" s="72">
        <v>100399072400</v>
      </c>
      <c r="G43" s="72">
        <v>0</v>
      </c>
      <c r="H43" s="75" t="s">
        <v>173</v>
      </c>
      <c r="I43" s="76"/>
      <c r="J43" s="76" t="s">
        <v>249</v>
      </c>
      <c r="K43" s="77" t="s">
        <v>92</v>
      </c>
      <c r="L43" s="78">
        <v>39273</v>
      </c>
      <c r="M43" s="89"/>
      <c r="N43" s="74">
        <v>46021</v>
      </c>
      <c r="O43" s="74" t="str">
        <f t="shared" si="30"/>
        <v>18 years,5 months</v>
      </c>
      <c r="P43" s="79">
        <v>22</v>
      </c>
      <c r="Q43" s="79">
        <v>0</v>
      </c>
      <c r="R43" s="79">
        <f>VLOOKUP(D43,'[1]work-sAl'!$B$2:$P$116,15,0)</f>
        <v>2</v>
      </c>
      <c r="S43" s="79">
        <v>0</v>
      </c>
      <c r="T43" s="79">
        <v>0</v>
      </c>
      <c r="U43" s="79">
        <f t="shared" si="22"/>
        <v>24</v>
      </c>
      <c r="V43" s="79">
        <v>63</v>
      </c>
      <c r="W43" s="90">
        <f t="shared" si="31"/>
        <v>50</v>
      </c>
      <c r="X43" s="88">
        <f t="shared" si="32"/>
        <v>13</v>
      </c>
      <c r="Y43" s="90">
        <f t="shared" si="33"/>
        <v>25</v>
      </c>
      <c r="Z43" s="79">
        <v>1068</v>
      </c>
      <c r="AA43" s="81">
        <f t="shared" si="34"/>
        <v>13884</v>
      </c>
      <c r="AB43" s="81">
        <f t="shared" si="35"/>
        <v>5553.6</v>
      </c>
      <c r="AC43" s="81">
        <f t="shared" si="36"/>
        <v>2776.8</v>
      </c>
      <c r="AD43" s="81">
        <f t="shared" si="37"/>
        <v>2776.8</v>
      </c>
      <c r="AE43" s="81">
        <f t="shared" si="38"/>
        <v>2776.8</v>
      </c>
      <c r="AF43" s="82">
        <f t="shared" si="39"/>
        <v>133.5</v>
      </c>
      <c r="AG43" s="81">
        <f t="shared" si="23"/>
        <v>27768</v>
      </c>
      <c r="AH43" s="72">
        <f t="shared" si="24"/>
        <v>12816</v>
      </c>
      <c r="AI43" s="72">
        <f t="shared" si="25"/>
        <v>5126.4000000000005</v>
      </c>
      <c r="AJ43" s="72">
        <f t="shared" si="26"/>
        <v>2563.2000000000003</v>
      </c>
      <c r="AK43" s="72">
        <f t="shared" si="27"/>
        <v>2563.2000000000003</v>
      </c>
      <c r="AL43" s="72">
        <f t="shared" si="28"/>
        <v>2563.2000000000003</v>
      </c>
      <c r="AM43" s="81">
        <f t="shared" si="29"/>
        <v>1735.5</v>
      </c>
      <c r="AN43" s="81">
        <f t="shared" si="40"/>
        <v>6675</v>
      </c>
      <c r="AO43" s="81">
        <f t="shared" si="41"/>
        <v>34042.5</v>
      </c>
      <c r="AP43" s="81">
        <f t="shared" si="42"/>
        <v>27367.5</v>
      </c>
      <c r="AQ43" s="83">
        <f t="shared" si="43"/>
        <v>15000</v>
      </c>
      <c r="AR43" s="72">
        <f t="shared" si="44"/>
        <v>0</v>
      </c>
      <c r="AS43" s="72">
        <v>0</v>
      </c>
      <c r="AT43" s="83">
        <f t="shared" si="45"/>
        <v>1800</v>
      </c>
      <c r="AU43" s="177">
        <f>VLOOKUP(D43,'[1]work-sAl'!$B$2:$Z$70,25,0)</f>
        <v>1800</v>
      </c>
      <c r="AV43" s="83">
        <f t="shared" si="46"/>
        <v>0</v>
      </c>
      <c r="AW43" s="177">
        <f>VLOOKUP(D43,'[1]work-sAl'!$B$2:$AA$70,26,0)</f>
        <v>0</v>
      </c>
      <c r="AX43" s="81">
        <v>237</v>
      </c>
      <c r="AY43" s="81">
        <v>1000</v>
      </c>
      <c r="AZ43" s="81">
        <v>0</v>
      </c>
      <c r="BA43" s="81">
        <v>0</v>
      </c>
      <c r="BB43" s="81">
        <f t="shared" si="47"/>
        <v>4837</v>
      </c>
      <c r="BC43" s="81">
        <f t="shared" si="48"/>
        <v>29205.5</v>
      </c>
      <c r="BD43" s="92"/>
      <c r="BE43" s="81">
        <v>0</v>
      </c>
      <c r="BF43" s="85">
        <v>87000</v>
      </c>
      <c r="BG43" s="80">
        <f t="shared" si="49"/>
        <v>87000</v>
      </c>
      <c r="BH43" s="86">
        <f t="shared" si="50"/>
        <v>86000</v>
      </c>
      <c r="BI43" s="65"/>
      <c r="BJ43" s="65"/>
    </row>
    <row r="44" spans="2:62" s="93" customFormat="1" ht="36.200000000000003" customHeight="1" x14ac:dyDescent="0.3">
      <c r="B44" s="71">
        <v>40</v>
      </c>
      <c r="C44" s="88"/>
      <c r="D44" s="73">
        <v>10013</v>
      </c>
      <c r="E44" s="89"/>
      <c r="F44" s="72">
        <v>100266009488</v>
      </c>
      <c r="G44" s="72">
        <v>0</v>
      </c>
      <c r="H44" s="75" t="s">
        <v>174</v>
      </c>
      <c r="I44" s="76"/>
      <c r="J44" s="76" t="s">
        <v>249</v>
      </c>
      <c r="K44" s="77" t="s">
        <v>92</v>
      </c>
      <c r="L44" s="78">
        <v>39264</v>
      </c>
      <c r="M44" s="89"/>
      <c r="N44" s="74">
        <v>46021</v>
      </c>
      <c r="O44" s="74" t="str">
        <f t="shared" si="30"/>
        <v>18 years,5 months</v>
      </c>
      <c r="P44" s="79">
        <v>24</v>
      </c>
      <c r="Q44" s="79">
        <v>0</v>
      </c>
      <c r="R44" s="79">
        <f>VLOOKUP(D44,'[1]work-sAl'!$B$2:$P$116,15,0)</f>
        <v>2</v>
      </c>
      <c r="S44" s="79">
        <v>0</v>
      </c>
      <c r="T44" s="79">
        <v>0</v>
      </c>
      <c r="U44" s="79">
        <f t="shared" si="22"/>
        <v>26</v>
      </c>
      <c r="V44" s="79">
        <v>68.5</v>
      </c>
      <c r="W44" s="90">
        <f t="shared" si="31"/>
        <v>50</v>
      </c>
      <c r="X44" s="88">
        <f t="shared" si="32"/>
        <v>18.5</v>
      </c>
      <c r="Y44" s="90">
        <f t="shared" si="33"/>
        <v>25</v>
      </c>
      <c r="Z44" s="79">
        <v>1115</v>
      </c>
      <c r="AA44" s="81">
        <f t="shared" si="34"/>
        <v>14495</v>
      </c>
      <c r="AB44" s="81">
        <f t="shared" si="35"/>
        <v>5798</v>
      </c>
      <c r="AC44" s="81">
        <f t="shared" si="36"/>
        <v>2899</v>
      </c>
      <c r="AD44" s="81">
        <f t="shared" si="37"/>
        <v>2899</v>
      </c>
      <c r="AE44" s="81">
        <f t="shared" si="38"/>
        <v>2899</v>
      </c>
      <c r="AF44" s="82">
        <f t="shared" si="39"/>
        <v>139.375</v>
      </c>
      <c r="AG44" s="81">
        <f t="shared" si="23"/>
        <v>28990</v>
      </c>
      <c r="AH44" s="72">
        <f t="shared" si="24"/>
        <v>14495</v>
      </c>
      <c r="AI44" s="72">
        <f t="shared" si="25"/>
        <v>5798</v>
      </c>
      <c r="AJ44" s="72">
        <f t="shared" si="26"/>
        <v>2899</v>
      </c>
      <c r="AK44" s="72">
        <f t="shared" si="27"/>
        <v>2899</v>
      </c>
      <c r="AL44" s="72">
        <f t="shared" si="28"/>
        <v>2899</v>
      </c>
      <c r="AM44" s="81">
        <f t="shared" si="29"/>
        <v>2578.4375</v>
      </c>
      <c r="AN44" s="81">
        <f t="shared" si="40"/>
        <v>6968.75</v>
      </c>
      <c r="AO44" s="81">
        <f t="shared" si="41"/>
        <v>38537.1875</v>
      </c>
      <c r="AP44" s="81">
        <f t="shared" si="42"/>
        <v>31568.4375</v>
      </c>
      <c r="AQ44" s="83">
        <f t="shared" si="43"/>
        <v>15000</v>
      </c>
      <c r="AR44" s="72">
        <f t="shared" si="44"/>
        <v>0</v>
      </c>
      <c r="AS44" s="72">
        <v>0</v>
      </c>
      <c r="AT44" s="83">
        <f t="shared" si="45"/>
        <v>1800</v>
      </c>
      <c r="AU44" s="177">
        <f>VLOOKUP(D44,'[1]work-sAl'!$B$2:$Z$70,25,0)</f>
        <v>1800</v>
      </c>
      <c r="AV44" s="83">
        <f t="shared" si="46"/>
        <v>0</v>
      </c>
      <c r="AW44" s="177">
        <f>VLOOKUP(D44,'[1]work-sAl'!$B$2:$AA$70,26,0)</f>
        <v>0</v>
      </c>
      <c r="AX44" s="81">
        <v>0</v>
      </c>
      <c r="AY44" s="81">
        <v>1000</v>
      </c>
      <c r="AZ44" s="81">
        <v>0</v>
      </c>
      <c r="BA44" s="81">
        <v>0</v>
      </c>
      <c r="BB44" s="81">
        <f t="shared" si="47"/>
        <v>4600</v>
      </c>
      <c r="BC44" s="81">
        <f t="shared" si="48"/>
        <v>33937.1875</v>
      </c>
      <c r="BD44" s="92"/>
      <c r="BE44" s="81">
        <v>0</v>
      </c>
      <c r="BF44" s="85">
        <v>157000</v>
      </c>
      <c r="BG44" s="80">
        <f t="shared" si="49"/>
        <v>157000</v>
      </c>
      <c r="BH44" s="86">
        <f t="shared" si="50"/>
        <v>156000</v>
      </c>
      <c r="BI44" s="65"/>
      <c r="BJ44" s="65"/>
    </row>
    <row r="45" spans="2:62" s="93" customFormat="1" ht="36.200000000000003" customHeight="1" x14ac:dyDescent="0.3">
      <c r="B45" s="71">
        <v>41</v>
      </c>
      <c r="C45" s="88"/>
      <c r="D45" s="73">
        <v>10015</v>
      </c>
      <c r="E45" s="89"/>
      <c r="F45" s="72">
        <v>100304382181</v>
      </c>
      <c r="G45" s="72">
        <v>0</v>
      </c>
      <c r="H45" s="75" t="s">
        <v>175</v>
      </c>
      <c r="I45" s="76"/>
      <c r="J45" s="76" t="s">
        <v>250</v>
      </c>
      <c r="K45" s="77" t="s">
        <v>92</v>
      </c>
      <c r="L45" s="78">
        <v>39417</v>
      </c>
      <c r="M45" s="89"/>
      <c r="N45" s="74">
        <v>46021</v>
      </c>
      <c r="O45" s="74" t="str">
        <f t="shared" si="30"/>
        <v>18 years,0 months</v>
      </c>
      <c r="P45" s="79">
        <v>24</v>
      </c>
      <c r="Q45" s="79">
        <v>0</v>
      </c>
      <c r="R45" s="79">
        <f>VLOOKUP(D45,'[1]work-sAl'!$B$2:$P$116,15,0)</f>
        <v>2</v>
      </c>
      <c r="S45" s="79">
        <v>0</v>
      </c>
      <c r="T45" s="79">
        <v>0</v>
      </c>
      <c r="U45" s="79">
        <f t="shared" si="22"/>
        <v>26</v>
      </c>
      <c r="V45" s="79">
        <v>66</v>
      </c>
      <c r="W45" s="90">
        <f t="shared" si="31"/>
        <v>50</v>
      </c>
      <c r="X45" s="88">
        <f t="shared" si="32"/>
        <v>16</v>
      </c>
      <c r="Y45" s="90">
        <f t="shared" si="33"/>
        <v>25</v>
      </c>
      <c r="Z45" s="79">
        <v>1144</v>
      </c>
      <c r="AA45" s="81">
        <f t="shared" si="34"/>
        <v>14872</v>
      </c>
      <c r="AB45" s="81">
        <f t="shared" si="35"/>
        <v>5948.8</v>
      </c>
      <c r="AC45" s="81">
        <f t="shared" si="36"/>
        <v>2974.4</v>
      </c>
      <c r="AD45" s="81">
        <f t="shared" si="37"/>
        <v>2974.4</v>
      </c>
      <c r="AE45" s="81">
        <f t="shared" si="38"/>
        <v>2974.4</v>
      </c>
      <c r="AF45" s="82">
        <f t="shared" si="39"/>
        <v>143</v>
      </c>
      <c r="AG45" s="81">
        <f t="shared" si="23"/>
        <v>29744</v>
      </c>
      <c r="AH45" s="72">
        <f t="shared" si="24"/>
        <v>14872</v>
      </c>
      <c r="AI45" s="72">
        <f t="shared" si="25"/>
        <v>5948.8</v>
      </c>
      <c r="AJ45" s="72">
        <f t="shared" si="26"/>
        <v>2974.4</v>
      </c>
      <c r="AK45" s="72">
        <f t="shared" si="27"/>
        <v>2974.4</v>
      </c>
      <c r="AL45" s="72">
        <f t="shared" si="28"/>
        <v>2974.4</v>
      </c>
      <c r="AM45" s="81">
        <f t="shared" si="29"/>
        <v>2288</v>
      </c>
      <c r="AN45" s="81">
        <f t="shared" si="40"/>
        <v>7150</v>
      </c>
      <c r="AO45" s="81">
        <f t="shared" si="41"/>
        <v>39182</v>
      </c>
      <c r="AP45" s="81">
        <f t="shared" si="42"/>
        <v>32032</v>
      </c>
      <c r="AQ45" s="83">
        <f t="shared" si="43"/>
        <v>15000</v>
      </c>
      <c r="AR45" s="72">
        <f t="shared" si="44"/>
        <v>0</v>
      </c>
      <c r="AS45" s="72">
        <v>0</v>
      </c>
      <c r="AT45" s="83">
        <f t="shared" si="45"/>
        <v>1800</v>
      </c>
      <c r="AU45" s="177">
        <f>VLOOKUP(D45,'[1]work-sAl'!$B$2:$Z$70,25,0)</f>
        <v>1800</v>
      </c>
      <c r="AV45" s="83">
        <f t="shared" si="46"/>
        <v>0</v>
      </c>
      <c r="AW45" s="177">
        <f>VLOOKUP(D45,'[1]work-sAl'!$B$2:$AA$70,26,0)</f>
        <v>0</v>
      </c>
      <c r="AX45" s="81">
        <v>0</v>
      </c>
      <c r="AY45" s="81">
        <v>2000</v>
      </c>
      <c r="AZ45" s="81">
        <v>0</v>
      </c>
      <c r="BA45" s="81">
        <v>0</v>
      </c>
      <c r="BB45" s="81">
        <f t="shared" si="47"/>
        <v>5600</v>
      </c>
      <c r="BC45" s="81">
        <f t="shared" si="48"/>
        <v>33582</v>
      </c>
      <c r="BD45" s="92"/>
      <c r="BE45" s="81">
        <v>0</v>
      </c>
      <c r="BF45" s="85">
        <v>720500</v>
      </c>
      <c r="BG45" s="80">
        <f t="shared" si="49"/>
        <v>720500</v>
      </c>
      <c r="BH45" s="86">
        <f t="shared" si="50"/>
        <v>718500</v>
      </c>
      <c r="BI45" s="65"/>
      <c r="BJ45" s="65"/>
    </row>
    <row r="46" spans="2:62" s="93" customFormat="1" ht="36.200000000000003" customHeight="1" x14ac:dyDescent="0.3">
      <c r="B46" s="87">
        <v>42</v>
      </c>
      <c r="C46" s="88"/>
      <c r="D46" s="73">
        <v>10016</v>
      </c>
      <c r="E46" s="89"/>
      <c r="F46" s="72">
        <v>100196782166</v>
      </c>
      <c r="G46" s="72">
        <v>0</v>
      </c>
      <c r="H46" s="75" t="s">
        <v>176</v>
      </c>
      <c r="I46" s="76"/>
      <c r="J46" s="76" t="s">
        <v>251</v>
      </c>
      <c r="K46" s="77" t="s">
        <v>92</v>
      </c>
      <c r="L46" s="78">
        <v>39417</v>
      </c>
      <c r="M46" s="89"/>
      <c r="N46" s="74">
        <v>46021</v>
      </c>
      <c r="O46" s="74" t="str">
        <f t="shared" si="30"/>
        <v>18 years,0 months</v>
      </c>
      <c r="P46" s="79">
        <v>24</v>
      </c>
      <c r="Q46" s="79">
        <v>0</v>
      </c>
      <c r="R46" s="79">
        <f>VLOOKUP(D46,'[1]work-sAl'!$B$2:$P$116,15,0)</f>
        <v>2</v>
      </c>
      <c r="S46" s="79">
        <v>0</v>
      </c>
      <c r="T46" s="79">
        <v>0</v>
      </c>
      <c r="U46" s="79">
        <f t="shared" si="22"/>
        <v>26</v>
      </c>
      <c r="V46" s="79">
        <v>48</v>
      </c>
      <c r="W46" s="90">
        <f t="shared" si="31"/>
        <v>48</v>
      </c>
      <c r="X46" s="88">
        <f t="shared" si="32"/>
        <v>0</v>
      </c>
      <c r="Y46" s="90">
        <f t="shared" si="33"/>
        <v>24</v>
      </c>
      <c r="Z46" s="79">
        <v>960</v>
      </c>
      <c r="AA46" s="81">
        <f t="shared" si="34"/>
        <v>12480</v>
      </c>
      <c r="AB46" s="81">
        <f t="shared" si="35"/>
        <v>4992</v>
      </c>
      <c r="AC46" s="81">
        <f t="shared" si="36"/>
        <v>2496</v>
      </c>
      <c r="AD46" s="81">
        <f t="shared" si="37"/>
        <v>2496</v>
      </c>
      <c r="AE46" s="81">
        <f t="shared" si="38"/>
        <v>2496</v>
      </c>
      <c r="AF46" s="82">
        <f t="shared" si="39"/>
        <v>120</v>
      </c>
      <c r="AG46" s="81">
        <f t="shared" si="23"/>
        <v>24960</v>
      </c>
      <c r="AH46" s="72">
        <f t="shared" si="24"/>
        <v>12480</v>
      </c>
      <c r="AI46" s="72">
        <f t="shared" si="25"/>
        <v>4992</v>
      </c>
      <c r="AJ46" s="72">
        <f t="shared" si="26"/>
        <v>2496</v>
      </c>
      <c r="AK46" s="72">
        <f t="shared" si="27"/>
        <v>2496</v>
      </c>
      <c r="AL46" s="72">
        <f t="shared" si="28"/>
        <v>2496</v>
      </c>
      <c r="AM46" s="81">
        <f t="shared" si="29"/>
        <v>0</v>
      </c>
      <c r="AN46" s="81">
        <f t="shared" si="40"/>
        <v>5760</v>
      </c>
      <c r="AO46" s="81">
        <f t="shared" si="41"/>
        <v>30720</v>
      </c>
      <c r="AP46" s="81">
        <f t="shared" si="42"/>
        <v>24960</v>
      </c>
      <c r="AQ46" s="83">
        <f t="shared" si="43"/>
        <v>15000</v>
      </c>
      <c r="AR46" s="72">
        <f t="shared" si="44"/>
        <v>0</v>
      </c>
      <c r="AS46" s="72">
        <v>0</v>
      </c>
      <c r="AT46" s="83">
        <f t="shared" si="45"/>
        <v>1800</v>
      </c>
      <c r="AU46" s="177">
        <f>VLOOKUP(D46,'[1]work-sAl'!$B$2:$Z$70,25,0)</f>
        <v>1800</v>
      </c>
      <c r="AV46" s="83">
        <f t="shared" si="46"/>
        <v>0</v>
      </c>
      <c r="AW46" s="177">
        <f>VLOOKUP(D46,'[1]work-sAl'!$B$2:$AA$70,26,0)</f>
        <v>0</v>
      </c>
      <c r="AX46" s="81">
        <v>0</v>
      </c>
      <c r="AY46" s="81">
        <v>1500</v>
      </c>
      <c r="AZ46" s="81">
        <v>0</v>
      </c>
      <c r="BA46" s="81">
        <v>0</v>
      </c>
      <c r="BB46" s="81">
        <f t="shared" si="47"/>
        <v>5100</v>
      </c>
      <c r="BC46" s="81">
        <f t="shared" si="48"/>
        <v>25620</v>
      </c>
      <c r="BD46" s="92"/>
      <c r="BE46" s="81">
        <v>0</v>
      </c>
      <c r="BF46" s="85">
        <v>186000</v>
      </c>
      <c r="BG46" s="80">
        <f t="shared" si="49"/>
        <v>186000</v>
      </c>
      <c r="BH46" s="86">
        <f t="shared" si="50"/>
        <v>184500</v>
      </c>
      <c r="BI46" s="65"/>
      <c r="BJ46" s="65"/>
    </row>
    <row r="47" spans="2:62" s="93" customFormat="1" ht="36.200000000000003" customHeight="1" x14ac:dyDescent="0.3">
      <c r="B47" s="71">
        <v>43</v>
      </c>
      <c r="C47" s="88"/>
      <c r="D47" s="73">
        <v>10018</v>
      </c>
      <c r="E47" s="89"/>
      <c r="F47" s="72">
        <v>100405147858</v>
      </c>
      <c r="G47" s="72">
        <v>5603807120</v>
      </c>
      <c r="H47" s="75" t="s">
        <v>177</v>
      </c>
      <c r="I47" s="76"/>
      <c r="J47" s="76" t="s">
        <v>251</v>
      </c>
      <c r="K47" s="77" t="s">
        <v>92</v>
      </c>
      <c r="L47" s="78">
        <v>39976</v>
      </c>
      <c r="M47" s="89"/>
      <c r="N47" s="74">
        <v>46021</v>
      </c>
      <c r="O47" s="74" t="str">
        <f t="shared" si="30"/>
        <v>16 years,6 months</v>
      </c>
      <c r="P47" s="79">
        <v>24</v>
      </c>
      <c r="Q47" s="79">
        <v>0</v>
      </c>
      <c r="R47" s="79">
        <f>VLOOKUP(D47,'[1]work-sAl'!$B$2:$P$116,15,0)</f>
        <v>2</v>
      </c>
      <c r="S47" s="79">
        <v>0</v>
      </c>
      <c r="T47" s="79">
        <v>0</v>
      </c>
      <c r="U47" s="79">
        <f t="shared" si="22"/>
        <v>26</v>
      </c>
      <c r="V47" s="79">
        <v>62</v>
      </c>
      <c r="W47" s="90">
        <f t="shared" si="31"/>
        <v>50</v>
      </c>
      <c r="X47" s="88">
        <f t="shared" si="32"/>
        <v>12</v>
      </c>
      <c r="Y47" s="90">
        <f t="shared" si="33"/>
        <v>25</v>
      </c>
      <c r="Z47" s="79">
        <v>833</v>
      </c>
      <c r="AA47" s="81">
        <f t="shared" si="34"/>
        <v>10829</v>
      </c>
      <c r="AB47" s="81">
        <f t="shared" si="35"/>
        <v>4331.6000000000004</v>
      </c>
      <c r="AC47" s="81">
        <f t="shared" si="36"/>
        <v>2165.8000000000002</v>
      </c>
      <c r="AD47" s="81">
        <f t="shared" si="37"/>
        <v>2165.8000000000002</v>
      </c>
      <c r="AE47" s="81">
        <f t="shared" si="38"/>
        <v>2165.8000000000002</v>
      </c>
      <c r="AF47" s="82">
        <f t="shared" si="39"/>
        <v>104.125</v>
      </c>
      <c r="AG47" s="81">
        <f t="shared" si="23"/>
        <v>21658</v>
      </c>
      <c r="AH47" s="72">
        <f t="shared" si="24"/>
        <v>10829</v>
      </c>
      <c r="AI47" s="72">
        <f t="shared" si="25"/>
        <v>4331.6000000000004</v>
      </c>
      <c r="AJ47" s="72">
        <f t="shared" si="26"/>
        <v>2165.8000000000002</v>
      </c>
      <c r="AK47" s="72">
        <f t="shared" si="27"/>
        <v>2165.8000000000002</v>
      </c>
      <c r="AL47" s="72">
        <f t="shared" si="28"/>
        <v>2165.8000000000002</v>
      </c>
      <c r="AM47" s="81">
        <f t="shared" si="29"/>
        <v>1249.5</v>
      </c>
      <c r="AN47" s="81">
        <f t="shared" si="40"/>
        <v>5206.25</v>
      </c>
      <c r="AO47" s="81">
        <f t="shared" si="41"/>
        <v>28113.75</v>
      </c>
      <c r="AP47" s="81">
        <f t="shared" si="42"/>
        <v>22907.5</v>
      </c>
      <c r="AQ47" s="83">
        <f t="shared" si="43"/>
        <v>15000</v>
      </c>
      <c r="AR47" s="72">
        <f t="shared" si="44"/>
        <v>0</v>
      </c>
      <c r="AS47" s="72">
        <v>0</v>
      </c>
      <c r="AT47" s="83">
        <f t="shared" si="45"/>
        <v>1800</v>
      </c>
      <c r="AU47" s="177">
        <f>VLOOKUP(D47,'[1]work-sAl'!$B$2:$Z$70,25,0)</f>
        <v>1800</v>
      </c>
      <c r="AV47" s="83">
        <f t="shared" si="46"/>
        <v>0</v>
      </c>
      <c r="AW47" s="177">
        <f>VLOOKUP(D47,'[1]work-sAl'!$B$2:$AA$70,26,0)</f>
        <v>0</v>
      </c>
      <c r="AX47" s="81">
        <v>0</v>
      </c>
      <c r="AY47" s="81">
        <v>1500</v>
      </c>
      <c r="AZ47" s="81">
        <v>0</v>
      </c>
      <c r="BA47" s="81">
        <v>0</v>
      </c>
      <c r="BB47" s="81">
        <f t="shared" si="47"/>
        <v>5100</v>
      </c>
      <c r="BC47" s="81">
        <f t="shared" si="48"/>
        <v>23013.75</v>
      </c>
      <c r="BD47" s="92"/>
      <c r="BE47" s="81">
        <v>0</v>
      </c>
      <c r="BF47" s="85">
        <v>137500</v>
      </c>
      <c r="BG47" s="80">
        <f t="shared" si="49"/>
        <v>137500</v>
      </c>
      <c r="BH47" s="86">
        <f t="shared" si="50"/>
        <v>136000</v>
      </c>
      <c r="BI47" s="65"/>
      <c r="BJ47" s="65"/>
    </row>
    <row r="48" spans="2:62" s="93" customFormat="1" ht="36.200000000000003" customHeight="1" x14ac:dyDescent="0.3">
      <c r="B48" s="87">
        <v>44</v>
      </c>
      <c r="C48" s="88"/>
      <c r="D48" s="73">
        <v>10024</v>
      </c>
      <c r="E48" s="89"/>
      <c r="F48" s="72">
        <v>101142682408</v>
      </c>
      <c r="G48" s="72">
        <v>0</v>
      </c>
      <c r="H48" s="75" t="s">
        <v>178</v>
      </c>
      <c r="I48" s="76"/>
      <c r="J48" s="76" t="s">
        <v>252</v>
      </c>
      <c r="K48" s="77" t="s">
        <v>92</v>
      </c>
      <c r="L48" s="78">
        <v>40575</v>
      </c>
      <c r="M48" s="89"/>
      <c r="N48" s="74">
        <v>46021</v>
      </c>
      <c r="O48" s="74" t="str">
        <f t="shared" si="30"/>
        <v>14 years,10 months</v>
      </c>
      <c r="P48" s="79">
        <v>22</v>
      </c>
      <c r="Q48" s="79">
        <v>0</v>
      </c>
      <c r="R48" s="79">
        <f>VLOOKUP(D48,'[1]work-sAl'!$B$2:$P$116,15,0)</f>
        <v>2</v>
      </c>
      <c r="S48" s="79">
        <v>0</v>
      </c>
      <c r="T48" s="79">
        <v>0</v>
      </c>
      <c r="U48" s="79">
        <f t="shared" si="22"/>
        <v>24</v>
      </c>
      <c r="V48" s="79">
        <v>62.5</v>
      </c>
      <c r="W48" s="90">
        <f t="shared" si="31"/>
        <v>50</v>
      </c>
      <c r="X48" s="88">
        <f t="shared" si="32"/>
        <v>12.5</v>
      </c>
      <c r="Y48" s="90">
        <f t="shared" si="33"/>
        <v>25</v>
      </c>
      <c r="Z48" s="79">
        <v>977</v>
      </c>
      <c r="AA48" s="81">
        <f t="shared" si="34"/>
        <v>12701</v>
      </c>
      <c r="AB48" s="81">
        <f t="shared" si="35"/>
        <v>5080.4000000000005</v>
      </c>
      <c r="AC48" s="81">
        <f t="shared" si="36"/>
        <v>2540.2000000000003</v>
      </c>
      <c r="AD48" s="81">
        <f t="shared" si="37"/>
        <v>2540.2000000000003</v>
      </c>
      <c r="AE48" s="81">
        <f t="shared" si="38"/>
        <v>2540.2000000000003</v>
      </c>
      <c r="AF48" s="82">
        <f t="shared" si="39"/>
        <v>122.125</v>
      </c>
      <c r="AG48" s="81">
        <f t="shared" si="23"/>
        <v>25402</v>
      </c>
      <c r="AH48" s="72">
        <f t="shared" si="24"/>
        <v>11724</v>
      </c>
      <c r="AI48" s="72">
        <f t="shared" si="25"/>
        <v>4689.6000000000004</v>
      </c>
      <c r="AJ48" s="72">
        <f t="shared" si="26"/>
        <v>2344.8000000000002</v>
      </c>
      <c r="AK48" s="72">
        <f t="shared" si="27"/>
        <v>2344.8000000000002</v>
      </c>
      <c r="AL48" s="72">
        <f t="shared" si="28"/>
        <v>2344.8000000000002</v>
      </c>
      <c r="AM48" s="81">
        <f t="shared" si="29"/>
        <v>1526.5625</v>
      </c>
      <c r="AN48" s="81">
        <f t="shared" si="40"/>
        <v>6106.25</v>
      </c>
      <c r="AO48" s="81">
        <f t="shared" si="41"/>
        <v>31080.812499999996</v>
      </c>
      <c r="AP48" s="81">
        <f t="shared" si="42"/>
        <v>24974.562499999996</v>
      </c>
      <c r="AQ48" s="83">
        <f t="shared" si="43"/>
        <v>15000</v>
      </c>
      <c r="AR48" s="72">
        <f t="shared" si="44"/>
        <v>0</v>
      </c>
      <c r="AS48" s="72">
        <v>0</v>
      </c>
      <c r="AT48" s="83">
        <f t="shared" si="45"/>
        <v>1800</v>
      </c>
      <c r="AU48" s="177">
        <f>VLOOKUP(D48,'[1]work-sAl'!$B$2:$Z$70,25,0)</f>
        <v>1800</v>
      </c>
      <c r="AV48" s="83">
        <f t="shared" si="46"/>
        <v>0</v>
      </c>
      <c r="AW48" s="177">
        <f>VLOOKUP(D48,'[1]work-sAl'!$B$2:$AA$70,26,0)</f>
        <v>0</v>
      </c>
      <c r="AX48" s="81">
        <v>0</v>
      </c>
      <c r="AY48" s="81">
        <v>1500</v>
      </c>
      <c r="AZ48" s="81">
        <v>0</v>
      </c>
      <c r="BA48" s="81">
        <v>0</v>
      </c>
      <c r="BB48" s="81">
        <f t="shared" si="47"/>
        <v>5100</v>
      </c>
      <c r="BC48" s="81">
        <f t="shared" si="48"/>
        <v>25980.812499999996</v>
      </c>
      <c r="BD48" s="92"/>
      <c r="BE48" s="81">
        <v>0</v>
      </c>
      <c r="BF48" s="85">
        <v>218000</v>
      </c>
      <c r="BG48" s="80">
        <f t="shared" si="49"/>
        <v>218000</v>
      </c>
      <c r="BH48" s="86">
        <f t="shared" si="50"/>
        <v>216500</v>
      </c>
      <c r="BI48" s="65"/>
      <c r="BJ48" s="65"/>
    </row>
    <row r="49" spans="2:62" s="93" customFormat="1" ht="36.200000000000003" customHeight="1" x14ac:dyDescent="0.3">
      <c r="B49" s="71">
        <v>45</v>
      </c>
      <c r="C49" s="72"/>
      <c r="D49" s="73">
        <v>10034</v>
      </c>
      <c r="E49" s="74"/>
      <c r="F49" s="72">
        <v>101870321998</v>
      </c>
      <c r="G49" s="72">
        <v>5609802486</v>
      </c>
      <c r="H49" s="75" t="s">
        <v>179</v>
      </c>
      <c r="I49" s="76"/>
      <c r="J49" s="76" t="s">
        <v>252</v>
      </c>
      <c r="K49" s="77" t="s">
        <v>92</v>
      </c>
      <c r="L49" s="78">
        <v>42186</v>
      </c>
      <c r="M49" s="89"/>
      <c r="N49" s="74">
        <v>46021</v>
      </c>
      <c r="O49" s="74" t="str">
        <f t="shared" si="30"/>
        <v>10 years,5 months</v>
      </c>
      <c r="P49" s="79">
        <v>24.5</v>
      </c>
      <c r="Q49" s="79">
        <v>0</v>
      </c>
      <c r="R49" s="79">
        <f>VLOOKUP(D49,'[1]work-sAl'!$B$2:$P$116,15,0)</f>
        <v>1</v>
      </c>
      <c r="S49" s="79">
        <v>0</v>
      </c>
      <c r="T49" s="79">
        <v>0</v>
      </c>
      <c r="U49" s="79">
        <f t="shared" si="22"/>
        <v>25.5</v>
      </c>
      <c r="V49" s="79">
        <v>70</v>
      </c>
      <c r="W49" s="90">
        <f t="shared" si="31"/>
        <v>50</v>
      </c>
      <c r="X49" s="88">
        <f t="shared" si="32"/>
        <v>20</v>
      </c>
      <c r="Y49" s="90">
        <f t="shared" si="33"/>
        <v>25</v>
      </c>
      <c r="Z49" s="79">
        <v>865</v>
      </c>
      <c r="AA49" s="81">
        <f t="shared" si="34"/>
        <v>11245</v>
      </c>
      <c r="AB49" s="81">
        <f t="shared" si="35"/>
        <v>4498</v>
      </c>
      <c r="AC49" s="81">
        <f t="shared" si="36"/>
        <v>2249</v>
      </c>
      <c r="AD49" s="81">
        <f t="shared" si="37"/>
        <v>2249</v>
      </c>
      <c r="AE49" s="81">
        <f t="shared" si="38"/>
        <v>2249</v>
      </c>
      <c r="AF49" s="82">
        <f t="shared" si="39"/>
        <v>108.125</v>
      </c>
      <c r="AG49" s="81">
        <f t="shared" si="23"/>
        <v>22490</v>
      </c>
      <c r="AH49" s="72">
        <f t="shared" si="24"/>
        <v>11028.75</v>
      </c>
      <c r="AI49" s="72">
        <f t="shared" si="25"/>
        <v>4411.5</v>
      </c>
      <c r="AJ49" s="72">
        <f t="shared" si="26"/>
        <v>2205.75</v>
      </c>
      <c r="AK49" s="72">
        <f t="shared" si="27"/>
        <v>2205.75</v>
      </c>
      <c r="AL49" s="72">
        <f t="shared" si="28"/>
        <v>2205.75</v>
      </c>
      <c r="AM49" s="81">
        <f t="shared" si="29"/>
        <v>2162.5</v>
      </c>
      <c r="AN49" s="81">
        <f t="shared" si="40"/>
        <v>5406.25</v>
      </c>
      <c r="AO49" s="81">
        <f t="shared" si="41"/>
        <v>29626.25</v>
      </c>
      <c r="AP49" s="81">
        <f t="shared" si="42"/>
        <v>24220</v>
      </c>
      <c r="AQ49" s="83">
        <f t="shared" si="43"/>
        <v>15000</v>
      </c>
      <c r="AR49" s="72">
        <f t="shared" si="44"/>
        <v>0</v>
      </c>
      <c r="AS49" s="72">
        <v>0</v>
      </c>
      <c r="AT49" s="83">
        <f t="shared" si="45"/>
        <v>1800</v>
      </c>
      <c r="AU49" s="177">
        <f>VLOOKUP(D49,'[1]work-sAl'!$B$2:$Z$70,25,0)</f>
        <v>1800</v>
      </c>
      <c r="AV49" s="83">
        <f t="shared" si="46"/>
        <v>0</v>
      </c>
      <c r="AW49" s="177">
        <f>VLOOKUP(D49,'[1]work-sAl'!$B$2:$AA$70,26,0)</f>
        <v>0</v>
      </c>
      <c r="AX49" s="81">
        <v>0</v>
      </c>
      <c r="AY49" s="81">
        <v>1000</v>
      </c>
      <c r="AZ49" s="81">
        <v>0</v>
      </c>
      <c r="BA49" s="81">
        <v>0</v>
      </c>
      <c r="BB49" s="81">
        <f t="shared" si="47"/>
        <v>4600</v>
      </c>
      <c r="BC49" s="81">
        <f t="shared" si="48"/>
        <v>25026.25</v>
      </c>
      <c r="BD49" s="92"/>
      <c r="BE49" s="81">
        <v>0</v>
      </c>
      <c r="BF49" s="85">
        <v>35500</v>
      </c>
      <c r="BG49" s="80">
        <f t="shared" si="49"/>
        <v>35500</v>
      </c>
      <c r="BH49" s="86">
        <f t="shared" si="50"/>
        <v>34500</v>
      </c>
      <c r="BI49" s="65"/>
      <c r="BJ49" s="65"/>
    </row>
    <row r="50" spans="2:62" s="93" customFormat="1" ht="36.200000000000003" customHeight="1" x14ac:dyDescent="0.3">
      <c r="B50" s="71">
        <v>46</v>
      </c>
      <c r="C50" s="88"/>
      <c r="D50" s="73">
        <v>10035</v>
      </c>
      <c r="E50" s="89"/>
      <c r="F50" s="72">
        <v>101142682340</v>
      </c>
      <c r="G50" s="72">
        <v>5606888155</v>
      </c>
      <c r="H50" s="75" t="s">
        <v>180</v>
      </c>
      <c r="I50" s="76"/>
      <c r="J50" s="76" t="s">
        <v>252</v>
      </c>
      <c r="K50" s="77" t="s">
        <v>92</v>
      </c>
      <c r="L50" s="78">
        <v>42331</v>
      </c>
      <c r="M50" s="89"/>
      <c r="N50" s="74">
        <v>46021</v>
      </c>
      <c r="O50" s="74" t="str">
        <f t="shared" si="30"/>
        <v>10 years,1 months</v>
      </c>
      <c r="P50" s="79">
        <v>21</v>
      </c>
      <c r="Q50" s="79">
        <v>0</v>
      </c>
      <c r="R50" s="79">
        <f>VLOOKUP(D50,'[1]work-sAl'!$B$2:$P$116,15,0)</f>
        <v>2</v>
      </c>
      <c r="S50" s="79">
        <v>0</v>
      </c>
      <c r="T50" s="79">
        <v>0</v>
      </c>
      <c r="U50" s="79">
        <f t="shared" si="22"/>
        <v>23</v>
      </c>
      <c r="V50" s="79">
        <v>69</v>
      </c>
      <c r="W50" s="90">
        <f t="shared" si="31"/>
        <v>50</v>
      </c>
      <c r="X50" s="88">
        <f t="shared" si="32"/>
        <v>19</v>
      </c>
      <c r="Y50" s="90">
        <f t="shared" si="33"/>
        <v>25</v>
      </c>
      <c r="Z50" s="79">
        <v>860</v>
      </c>
      <c r="AA50" s="81">
        <f t="shared" si="34"/>
        <v>11180</v>
      </c>
      <c r="AB50" s="81">
        <f t="shared" si="35"/>
        <v>4472</v>
      </c>
      <c r="AC50" s="81">
        <f t="shared" si="36"/>
        <v>2236</v>
      </c>
      <c r="AD50" s="81">
        <f t="shared" si="37"/>
        <v>2236</v>
      </c>
      <c r="AE50" s="81">
        <f t="shared" si="38"/>
        <v>2236</v>
      </c>
      <c r="AF50" s="82">
        <f t="shared" si="39"/>
        <v>107.5</v>
      </c>
      <c r="AG50" s="81">
        <f t="shared" si="23"/>
        <v>22360</v>
      </c>
      <c r="AH50" s="72">
        <f t="shared" si="24"/>
        <v>9890</v>
      </c>
      <c r="AI50" s="72">
        <f t="shared" si="25"/>
        <v>3956</v>
      </c>
      <c r="AJ50" s="72">
        <f t="shared" si="26"/>
        <v>1978</v>
      </c>
      <c r="AK50" s="72">
        <f t="shared" si="27"/>
        <v>1978</v>
      </c>
      <c r="AL50" s="72">
        <f t="shared" si="28"/>
        <v>1978</v>
      </c>
      <c r="AM50" s="81">
        <f t="shared" si="29"/>
        <v>2042.5</v>
      </c>
      <c r="AN50" s="81">
        <f t="shared" si="40"/>
        <v>5375</v>
      </c>
      <c r="AO50" s="81">
        <f t="shared" si="41"/>
        <v>27197.5</v>
      </c>
      <c r="AP50" s="81">
        <f t="shared" si="42"/>
        <v>21822.5</v>
      </c>
      <c r="AQ50" s="83">
        <f t="shared" si="43"/>
        <v>15000</v>
      </c>
      <c r="AR50" s="72">
        <f t="shared" si="44"/>
        <v>0</v>
      </c>
      <c r="AS50" s="72">
        <v>0</v>
      </c>
      <c r="AT50" s="83">
        <f t="shared" si="45"/>
        <v>1800</v>
      </c>
      <c r="AU50" s="177">
        <f>VLOOKUP(D50,'[1]work-sAl'!$B$2:$Z$70,25,0)</f>
        <v>1800</v>
      </c>
      <c r="AV50" s="83">
        <f t="shared" si="46"/>
        <v>0</v>
      </c>
      <c r="AW50" s="177">
        <f>VLOOKUP(D50,'[1]work-sAl'!$B$2:$AA$70,26,0)</f>
        <v>0</v>
      </c>
      <c r="AX50" s="81">
        <v>0</v>
      </c>
      <c r="AY50" s="81">
        <v>1000</v>
      </c>
      <c r="AZ50" s="81">
        <v>0</v>
      </c>
      <c r="BA50" s="81">
        <v>0</v>
      </c>
      <c r="BB50" s="81">
        <f t="shared" si="47"/>
        <v>4600</v>
      </c>
      <c r="BC50" s="81">
        <f t="shared" si="48"/>
        <v>22597.5</v>
      </c>
      <c r="BD50" s="92"/>
      <c r="BE50" s="81">
        <v>0</v>
      </c>
      <c r="BF50" s="85">
        <v>62500</v>
      </c>
      <c r="BG50" s="80">
        <f t="shared" si="49"/>
        <v>62500</v>
      </c>
      <c r="BH50" s="86">
        <f t="shared" si="50"/>
        <v>61500</v>
      </c>
      <c r="BI50" s="65"/>
      <c r="BJ50" s="65"/>
    </row>
    <row r="51" spans="2:62" s="93" customFormat="1" ht="36.200000000000003" customHeight="1" x14ac:dyDescent="0.3">
      <c r="B51" s="87">
        <v>47</v>
      </c>
      <c r="C51" s="88"/>
      <c r="D51" s="73">
        <v>10039</v>
      </c>
      <c r="E51" s="89"/>
      <c r="F51" s="72">
        <v>101398725336</v>
      </c>
      <c r="G51" s="72">
        <v>5607641581</v>
      </c>
      <c r="H51" s="75" t="s">
        <v>181</v>
      </c>
      <c r="I51" s="76"/>
      <c r="J51" s="76" t="s">
        <v>253</v>
      </c>
      <c r="K51" s="77" t="s">
        <v>92</v>
      </c>
      <c r="L51" s="78">
        <v>42964</v>
      </c>
      <c r="M51" s="89"/>
      <c r="N51" s="74">
        <v>46021</v>
      </c>
      <c r="O51" s="74" t="str">
        <f t="shared" si="30"/>
        <v>8 years,4 months</v>
      </c>
      <c r="P51" s="79">
        <v>24</v>
      </c>
      <c r="Q51" s="79">
        <v>0</v>
      </c>
      <c r="R51" s="79">
        <f>VLOOKUP(D51,'[1]work-sAl'!$B$2:$P$116,15,0)</f>
        <v>2</v>
      </c>
      <c r="S51" s="79">
        <v>0</v>
      </c>
      <c r="T51" s="79">
        <v>0</v>
      </c>
      <c r="U51" s="79">
        <f t="shared" si="22"/>
        <v>26</v>
      </c>
      <c r="V51" s="79">
        <v>56.5</v>
      </c>
      <c r="W51" s="90">
        <f t="shared" si="31"/>
        <v>50</v>
      </c>
      <c r="X51" s="88">
        <f t="shared" si="32"/>
        <v>6.5</v>
      </c>
      <c r="Y51" s="90">
        <f t="shared" si="33"/>
        <v>25</v>
      </c>
      <c r="Z51" s="79">
        <v>775</v>
      </c>
      <c r="AA51" s="81">
        <f t="shared" si="34"/>
        <v>10075</v>
      </c>
      <c r="AB51" s="81">
        <f t="shared" si="35"/>
        <v>4030</v>
      </c>
      <c r="AC51" s="81">
        <f t="shared" si="36"/>
        <v>2015</v>
      </c>
      <c r="AD51" s="81">
        <f t="shared" si="37"/>
        <v>2015</v>
      </c>
      <c r="AE51" s="81">
        <f t="shared" si="38"/>
        <v>2015</v>
      </c>
      <c r="AF51" s="82">
        <f t="shared" si="39"/>
        <v>96.875</v>
      </c>
      <c r="AG51" s="81">
        <f t="shared" si="23"/>
        <v>20150</v>
      </c>
      <c r="AH51" s="72">
        <f t="shared" si="24"/>
        <v>10075</v>
      </c>
      <c r="AI51" s="72">
        <f t="shared" si="25"/>
        <v>4030</v>
      </c>
      <c r="AJ51" s="72">
        <f t="shared" si="26"/>
        <v>2015</v>
      </c>
      <c r="AK51" s="72">
        <f t="shared" si="27"/>
        <v>2015</v>
      </c>
      <c r="AL51" s="72">
        <f t="shared" si="28"/>
        <v>2015</v>
      </c>
      <c r="AM51" s="81">
        <f t="shared" si="29"/>
        <v>629.6875</v>
      </c>
      <c r="AN51" s="81">
        <f t="shared" si="40"/>
        <v>4843.75</v>
      </c>
      <c r="AO51" s="81">
        <f t="shared" si="41"/>
        <v>25623.4375</v>
      </c>
      <c r="AP51" s="81">
        <f t="shared" si="42"/>
        <v>20779.6875</v>
      </c>
      <c r="AQ51" s="83">
        <f t="shared" si="43"/>
        <v>15000</v>
      </c>
      <c r="AR51" s="72">
        <f t="shared" si="44"/>
        <v>21000</v>
      </c>
      <c r="AS51" s="72">
        <v>0</v>
      </c>
      <c r="AT51" s="83">
        <f t="shared" si="45"/>
        <v>1800</v>
      </c>
      <c r="AU51" s="177">
        <f>VLOOKUP(D51,'[1]work-sAl'!$B$2:$Z$70,25,0)</f>
        <v>1800</v>
      </c>
      <c r="AV51" s="83">
        <f t="shared" si="46"/>
        <v>157.5</v>
      </c>
      <c r="AW51" s="177">
        <f>VLOOKUP(D51,'[1]work-sAl'!$B$2:$AA$70,26,0)</f>
        <v>182</v>
      </c>
      <c r="AX51" s="81">
        <v>0</v>
      </c>
      <c r="AY51" s="81">
        <v>1500</v>
      </c>
      <c r="AZ51" s="81">
        <v>0</v>
      </c>
      <c r="BA51" s="81">
        <v>0</v>
      </c>
      <c r="BB51" s="81">
        <f t="shared" si="47"/>
        <v>5439.5</v>
      </c>
      <c r="BC51" s="81">
        <f t="shared" si="48"/>
        <v>20183.9375</v>
      </c>
      <c r="BD51" s="92"/>
      <c r="BE51" s="81">
        <v>15000</v>
      </c>
      <c r="BF51" s="85">
        <v>99500</v>
      </c>
      <c r="BG51" s="80">
        <f t="shared" si="49"/>
        <v>114500</v>
      </c>
      <c r="BH51" s="86">
        <f t="shared" si="50"/>
        <v>113000</v>
      </c>
      <c r="BI51" s="65"/>
      <c r="BJ51" s="65"/>
    </row>
    <row r="52" spans="2:62" s="93" customFormat="1" ht="36.200000000000003" customHeight="1" x14ac:dyDescent="0.3">
      <c r="B52" s="71">
        <v>48</v>
      </c>
      <c r="C52" s="88"/>
      <c r="D52" s="73">
        <v>10048</v>
      </c>
      <c r="E52" s="89"/>
      <c r="F52" s="72">
        <v>101680547998</v>
      </c>
      <c r="G52" s="72">
        <v>0</v>
      </c>
      <c r="H52" s="75" t="s">
        <v>182</v>
      </c>
      <c r="I52" s="76"/>
      <c r="J52" s="76" t="s">
        <v>252</v>
      </c>
      <c r="K52" s="77" t="s">
        <v>92</v>
      </c>
      <c r="L52" s="78">
        <v>44204</v>
      </c>
      <c r="M52" s="89"/>
      <c r="N52" s="74">
        <v>46021</v>
      </c>
      <c r="O52" s="74" t="str">
        <f t="shared" si="30"/>
        <v>4 years,11 months</v>
      </c>
      <c r="P52" s="79">
        <v>22</v>
      </c>
      <c r="Q52" s="79">
        <v>0</v>
      </c>
      <c r="R52" s="79">
        <f>VLOOKUP(D52,'[1]work-sAl'!$B$2:$P$116,15,0)</f>
        <v>2</v>
      </c>
      <c r="S52" s="79">
        <v>0</v>
      </c>
      <c r="T52" s="79">
        <v>0</v>
      </c>
      <c r="U52" s="79">
        <f t="shared" si="22"/>
        <v>24</v>
      </c>
      <c r="V52" s="79">
        <v>70</v>
      </c>
      <c r="W52" s="90">
        <f t="shared" si="31"/>
        <v>50</v>
      </c>
      <c r="X52" s="88">
        <f t="shared" si="32"/>
        <v>20</v>
      </c>
      <c r="Y52" s="90">
        <f t="shared" si="33"/>
        <v>25</v>
      </c>
      <c r="Z52" s="79">
        <v>1029</v>
      </c>
      <c r="AA52" s="81">
        <f t="shared" si="34"/>
        <v>13377</v>
      </c>
      <c r="AB52" s="81">
        <f t="shared" si="35"/>
        <v>5350.8</v>
      </c>
      <c r="AC52" s="81">
        <f t="shared" si="36"/>
        <v>2675.4</v>
      </c>
      <c r="AD52" s="81">
        <f t="shared" si="37"/>
        <v>2675.4</v>
      </c>
      <c r="AE52" s="81">
        <f t="shared" si="38"/>
        <v>2675.4</v>
      </c>
      <c r="AF52" s="82">
        <f t="shared" si="39"/>
        <v>128.625</v>
      </c>
      <c r="AG52" s="81">
        <f t="shared" si="23"/>
        <v>26754</v>
      </c>
      <c r="AH52" s="72">
        <f t="shared" si="24"/>
        <v>12348</v>
      </c>
      <c r="AI52" s="72">
        <f t="shared" si="25"/>
        <v>4939.2000000000007</v>
      </c>
      <c r="AJ52" s="72">
        <f t="shared" si="26"/>
        <v>2469.6000000000004</v>
      </c>
      <c r="AK52" s="72">
        <f t="shared" si="27"/>
        <v>2469.6000000000004</v>
      </c>
      <c r="AL52" s="72">
        <f t="shared" si="28"/>
        <v>2469.6000000000004</v>
      </c>
      <c r="AM52" s="81">
        <f t="shared" si="29"/>
        <v>2572.5</v>
      </c>
      <c r="AN52" s="81">
        <f t="shared" si="40"/>
        <v>6431.25</v>
      </c>
      <c r="AO52" s="81">
        <f t="shared" si="41"/>
        <v>33699.75</v>
      </c>
      <c r="AP52" s="81">
        <f t="shared" si="42"/>
        <v>27268.5</v>
      </c>
      <c r="AQ52" s="83">
        <f t="shared" si="43"/>
        <v>15000</v>
      </c>
      <c r="AR52" s="72">
        <f t="shared" si="44"/>
        <v>0</v>
      </c>
      <c r="AS52" s="72">
        <v>0</v>
      </c>
      <c r="AT52" s="83">
        <f t="shared" si="45"/>
        <v>1800</v>
      </c>
      <c r="AU52" s="177">
        <f>VLOOKUP(D52,'[1]work-sAl'!$B$2:$Z$70,25,0)</f>
        <v>1800</v>
      </c>
      <c r="AV52" s="83">
        <f t="shared" si="46"/>
        <v>0</v>
      </c>
      <c r="AW52" s="177">
        <f>VLOOKUP(D52,'[1]work-sAl'!$B$2:$AA$70,26,0)</f>
        <v>0</v>
      </c>
      <c r="AX52" s="81">
        <v>0</v>
      </c>
      <c r="AY52" s="81">
        <v>3000</v>
      </c>
      <c r="AZ52" s="81">
        <v>0</v>
      </c>
      <c r="BA52" s="81">
        <v>0</v>
      </c>
      <c r="BB52" s="81">
        <f t="shared" si="47"/>
        <v>6600</v>
      </c>
      <c r="BC52" s="81">
        <f t="shared" si="48"/>
        <v>27099.75</v>
      </c>
      <c r="BD52" s="92"/>
      <c r="BE52" s="81">
        <v>20000</v>
      </c>
      <c r="BF52" s="85">
        <v>113500</v>
      </c>
      <c r="BG52" s="80">
        <f t="shared" si="49"/>
        <v>133500</v>
      </c>
      <c r="BH52" s="86">
        <f t="shared" si="50"/>
        <v>130500</v>
      </c>
      <c r="BI52" s="65"/>
      <c r="BJ52" s="65"/>
    </row>
    <row r="53" spans="2:62" s="93" customFormat="1" ht="36.200000000000003" customHeight="1" x14ac:dyDescent="0.3">
      <c r="B53" s="87">
        <v>49</v>
      </c>
      <c r="C53" s="88"/>
      <c r="D53" s="73">
        <v>10054</v>
      </c>
      <c r="E53" s="89"/>
      <c r="F53" s="72">
        <v>101237041626</v>
      </c>
      <c r="G53" s="72">
        <v>5608861367</v>
      </c>
      <c r="H53" s="75" t="s">
        <v>183</v>
      </c>
      <c r="I53" s="76"/>
      <c r="J53" s="76" t="s">
        <v>238</v>
      </c>
      <c r="K53" s="77" t="s">
        <v>92</v>
      </c>
      <c r="L53" s="78">
        <v>44293</v>
      </c>
      <c r="M53" s="89"/>
      <c r="N53" s="74">
        <v>46021</v>
      </c>
      <c r="O53" s="74" t="str">
        <f t="shared" si="30"/>
        <v>4 years,8 months</v>
      </c>
      <c r="P53" s="79">
        <v>25</v>
      </c>
      <c r="Q53" s="79">
        <v>0</v>
      </c>
      <c r="R53" s="79">
        <f>VLOOKUP(D53,'[1]work-sAl'!$B$2:$P$116,15,0)</f>
        <v>2</v>
      </c>
      <c r="S53" s="79">
        <v>0</v>
      </c>
      <c r="T53" s="79">
        <v>0</v>
      </c>
      <c r="U53" s="79">
        <f t="shared" si="22"/>
        <v>27</v>
      </c>
      <c r="V53" s="79">
        <v>59</v>
      </c>
      <c r="W53" s="90">
        <f t="shared" si="31"/>
        <v>50</v>
      </c>
      <c r="X53" s="88">
        <f t="shared" si="32"/>
        <v>9</v>
      </c>
      <c r="Y53" s="90">
        <f t="shared" si="33"/>
        <v>25</v>
      </c>
      <c r="Z53" s="79">
        <v>572</v>
      </c>
      <c r="AA53" s="81">
        <f t="shared" si="34"/>
        <v>7436</v>
      </c>
      <c r="AB53" s="81">
        <f t="shared" si="35"/>
        <v>2974.4</v>
      </c>
      <c r="AC53" s="81">
        <f t="shared" si="36"/>
        <v>1487.2</v>
      </c>
      <c r="AD53" s="81">
        <f t="shared" si="37"/>
        <v>1487.2</v>
      </c>
      <c r="AE53" s="81">
        <f t="shared" si="38"/>
        <v>1487.2</v>
      </c>
      <c r="AF53" s="82">
        <f t="shared" si="39"/>
        <v>71.5</v>
      </c>
      <c r="AG53" s="81">
        <f t="shared" si="23"/>
        <v>14872</v>
      </c>
      <c r="AH53" s="72">
        <f t="shared" si="24"/>
        <v>7722</v>
      </c>
      <c r="AI53" s="72">
        <f t="shared" si="25"/>
        <v>3088.8</v>
      </c>
      <c r="AJ53" s="72">
        <f t="shared" si="26"/>
        <v>1544.4</v>
      </c>
      <c r="AK53" s="72">
        <f t="shared" si="27"/>
        <v>1544.4</v>
      </c>
      <c r="AL53" s="72">
        <f t="shared" si="28"/>
        <v>1544.4</v>
      </c>
      <c r="AM53" s="81">
        <f t="shared" si="29"/>
        <v>643.5</v>
      </c>
      <c r="AN53" s="81">
        <f t="shared" si="40"/>
        <v>3575</v>
      </c>
      <c r="AO53" s="81">
        <f t="shared" si="41"/>
        <v>19662.5</v>
      </c>
      <c r="AP53" s="81">
        <f t="shared" si="42"/>
        <v>16087.5</v>
      </c>
      <c r="AQ53" s="83">
        <f t="shared" si="43"/>
        <v>12998.7</v>
      </c>
      <c r="AR53" s="72">
        <f t="shared" si="44"/>
        <v>17696.25</v>
      </c>
      <c r="AS53" s="72">
        <v>0</v>
      </c>
      <c r="AT53" s="83">
        <f t="shared" si="45"/>
        <v>1559.8440000000001</v>
      </c>
      <c r="AU53" s="177">
        <f>VLOOKUP(D53,'[1]work-sAl'!$B$2:$Z$70,25,0)</f>
        <v>1571</v>
      </c>
      <c r="AV53" s="83">
        <f t="shared" si="46"/>
        <v>132.72187499999998</v>
      </c>
      <c r="AW53" s="177">
        <f>VLOOKUP(D53,'[1]work-sAl'!$B$2:$AA$70,26,0)</f>
        <v>137</v>
      </c>
      <c r="AX53" s="81">
        <v>0</v>
      </c>
      <c r="AY53" s="81">
        <v>2723</v>
      </c>
      <c r="AZ53" s="81">
        <v>0</v>
      </c>
      <c r="BA53" s="81">
        <v>0</v>
      </c>
      <c r="BB53" s="81">
        <f t="shared" si="47"/>
        <v>6123.5658750000002</v>
      </c>
      <c r="BC53" s="81">
        <f t="shared" si="48"/>
        <v>13538.934125</v>
      </c>
      <c r="BD53" s="92"/>
      <c r="BE53" s="81">
        <v>0</v>
      </c>
      <c r="BF53" s="85">
        <v>33277</v>
      </c>
      <c r="BG53" s="80">
        <f t="shared" si="49"/>
        <v>33277</v>
      </c>
      <c r="BH53" s="86">
        <f t="shared" si="50"/>
        <v>30554</v>
      </c>
      <c r="BI53" s="65"/>
      <c r="BJ53" s="65"/>
    </row>
    <row r="54" spans="2:62" s="93" customFormat="1" ht="36" customHeight="1" x14ac:dyDescent="0.3">
      <c r="B54" s="71">
        <v>50</v>
      </c>
      <c r="C54" s="88"/>
      <c r="D54" s="73">
        <v>10062</v>
      </c>
      <c r="E54" s="89"/>
      <c r="F54" s="72">
        <v>100286687739</v>
      </c>
      <c r="G54" s="72">
        <v>0</v>
      </c>
      <c r="H54" s="75" t="s">
        <v>184</v>
      </c>
      <c r="I54" s="76"/>
      <c r="J54" s="76" t="s">
        <v>252</v>
      </c>
      <c r="K54" s="77" t="s">
        <v>92</v>
      </c>
      <c r="L54" s="78">
        <v>44881</v>
      </c>
      <c r="M54" s="89"/>
      <c r="N54" s="74">
        <v>46021</v>
      </c>
      <c r="O54" s="74" t="str">
        <f t="shared" si="30"/>
        <v>3 years,1 months</v>
      </c>
      <c r="P54" s="79">
        <v>24</v>
      </c>
      <c r="Q54" s="79">
        <v>0</v>
      </c>
      <c r="R54" s="79">
        <f>VLOOKUP(D54,'[1]work-sAl'!$B$2:$P$116,15,0)</f>
        <v>2</v>
      </c>
      <c r="S54" s="79">
        <v>0</v>
      </c>
      <c r="T54" s="79">
        <v>0</v>
      </c>
      <c r="U54" s="79">
        <f t="shared" si="22"/>
        <v>26</v>
      </c>
      <c r="V54" s="79">
        <v>64.5</v>
      </c>
      <c r="W54" s="90">
        <f t="shared" si="31"/>
        <v>50</v>
      </c>
      <c r="X54" s="88">
        <f t="shared" si="32"/>
        <v>14.5</v>
      </c>
      <c r="Y54" s="90">
        <f t="shared" si="33"/>
        <v>25</v>
      </c>
      <c r="Z54" s="79">
        <v>990</v>
      </c>
      <c r="AA54" s="81">
        <f t="shared" si="34"/>
        <v>12870</v>
      </c>
      <c r="AB54" s="81">
        <f t="shared" si="35"/>
        <v>5148</v>
      </c>
      <c r="AC54" s="81">
        <f t="shared" si="36"/>
        <v>2574</v>
      </c>
      <c r="AD54" s="81">
        <f t="shared" si="37"/>
        <v>2574</v>
      </c>
      <c r="AE54" s="81">
        <f t="shared" si="38"/>
        <v>2574</v>
      </c>
      <c r="AF54" s="82">
        <f t="shared" si="39"/>
        <v>123.75</v>
      </c>
      <c r="AG54" s="81">
        <f t="shared" si="23"/>
        <v>25740</v>
      </c>
      <c r="AH54" s="72">
        <f t="shared" si="24"/>
        <v>12870</v>
      </c>
      <c r="AI54" s="72">
        <f t="shared" si="25"/>
        <v>5148</v>
      </c>
      <c r="AJ54" s="72">
        <f t="shared" si="26"/>
        <v>2574</v>
      </c>
      <c r="AK54" s="72">
        <f t="shared" si="27"/>
        <v>2574</v>
      </c>
      <c r="AL54" s="72">
        <f t="shared" si="28"/>
        <v>2574</v>
      </c>
      <c r="AM54" s="81">
        <f t="shared" si="29"/>
        <v>1794.375</v>
      </c>
      <c r="AN54" s="81">
        <f t="shared" si="40"/>
        <v>6187.5</v>
      </c>
      <c r="AO54" s="81">
        <f t="shared" si="41"/>
        <v>33721.875</v>
      </c>
      <c r="AP54" s="81">
        <f t="shared" si="42"/>
        <v>27534.375</v>
      </c>
      <c r="AQ54" s="83">
        <f t="shared" si="43"/>
        <v>15000</v>
      </c>
      <c r="AR54" s="72">
        <f t="shared" si="44"/>
        <v>0</v>
      </c>
      <c r="AS54" s="72">
        <v>0</v>
      </c>
      <c r="AT54" s="83">
        <f t="shared" si="45"/>
        <v>1800</v>
      </c>
      <c r="AU54" s="177">
        <f>VLOOKUP(D54,'[1]work-sAl'!$B$2:$Z$70,25,0)</f>
        <v>1800</v>
      </c>
      <c r="AV54" s="83">
        <f t="shared" si="46"/>
        <v>0</v>
      </c>
      <c r="AW54" s="177">
        <f>VLOOKUP(D54,'[1]work-sAl'!$B$2:$AA$70,26,0)</f>
        <v>0</v>
      </c>
      <c r="AX54" s="81">
        <v>0</v>
      </c>
      <c r="AY54" s="81">
        <v>2000</v>
      </c>
      <c r="AZ54" s="81">
        <v>0</v>
      </c>
      <c r="BA54" s="81">
        <v>0</v>
      </c>
      <c r="BB54" s="81">
        <f t="shared" si="47"/>
        <v>5600</v>
      </c>
      <c r="BC54" s="81">
        <f t="shared" si="48"/>
        <v>28121.875</v>
      </c>
      <c r="BD54" s="92"/>
      <c r="BE54" s="81">
        <v>0</v>
      </c>
      <c r="BF54" s="85">
        <v>123000</v>
      </c>
      <c r="BG54" s="80">
        <f t="shared" si="49"/>
        <v>123000</v>
      </c>
      <c r="BH54" s="86">
        <f t="shared" si="50"/>
        <v>121000</v>
      </c>
      <c r="BI54" s="65"/>
      <c r="BJ54" s="65"/>
    </row>
    <row r="55" spans="2:62" s="93" customFormat="1" ht="36.200000000000003" customHeight="1" x14ac:dyDescent="0.3">
      <c r="B55" s="71">
        <v>51</v>
      </c>
      <c r="C55" s="88"/>
      <c r="D55" s="73">
        <v>10022</v>
      </c>
      <c r="E55" s="89"/>
      <c r="F55" s="72">
        <v>100239394104</v>
      </c>
      <c r="G55" s="72">
        <v>0</v>
      </c>
      <c r="H55" s="75" t="s">
        <v>185</v>
      </c>
      <c r="I55" s="76"/>
      <c r="J55" s="76" t="s">
        <v>254</v>
      </c>
      <c r="K55" s="77" t="s">
        <v>109</v>
      </c>
      <c r="L55" s="78">
        <v>40172</v>
      </c>
      <c r="M55" s="89"/>
      <c r="N55" s="74">
        <v>46021</v>
      </c>
      <c r="O55" s="74" t="str">
        <f t="shared" si="30"/>
        <v>16 years,0 months</v>
      </c>
      <c r="P55" s="79">
        <v>25</v>
      </c>
      <c r="Q55" s="79">
        <v>0</v>
      </c>
      <c r="R55" s="79">
        <f>VLOOKUP(D55,'[1]work-sAl'!$B$2:$P$116,15,0)</f>
        <v>2</v>
      </c>
      <c r="S55" s="79">
        <v>0</v>
      </c>
      <c r="T55" s="79">
        <v>0</v>
      </c>
      <c r="U55" s="79">
        <f t="shared" si="22"/>
        <v>27</v>
      </c>
      <c r="V55" s="79">
        <v>53</v>
      </c>
      <c r="W55" s="90">
        <f t="shared" si="31"/>
        <v>50</v>
      </c>
      <c r="X55" s="88">
        <f t="shared" si="32"/>
        <v>3</v>
      </c>
      <c r="Y55" s="90">
        <f t="shared" si="33"/>
        <v>25</v>
      </c>
      <c r="Z55" s="79">
        <v>1001</v>
      </c>
      <c r="AA55" s="81">
        <f t="shared" si="34"/>
        <v>13013</v>
      </c>
      <c r="AB55" s="81">
        <f t="shared" si="35"/>
        <v>5205.2000000000007</v>
      </c>
      <c r="AC55" s="81">
        <f t="shared" si="36"/>
        <v>2602.6000000000004</v>
      </c>
      <c r="AD55" s="81">
        <f t="shared" si="37"/>
        <v>2602.6000000000004</v>
      </c>
      <c r="AE55" s="81">
        <f t="shared" si="38"/>
        <v>2602.6000000000004</v>
      </c>
      <c r="AF55" s="82">
        <f t="shared" si="39"/>
        <v>125.125</v>
      </c>
      <c r="AG55" s="81">
        <f t="shared" si="23"/>
        <v>26026</v>
      </c>
      <c r="AH55" s="72">
        <f t="shared" si="24"/>
        <v>13513.5</v>
      </c>
      <c r="AI55" s="72">
        <f t="shared" si="25"/>
        <v>5405.4000000000005</v>
      </c>
      <c r="AJ55" s="72">
        <f t="shared" si="26"/>
        <v>2702.7000000000003</v>
      </c>
      <c r="AK55" s="72">
        <f t="shared" si="27"/>
        <v>2702.7000000000003</v>
      </c>
      <c r="AL55" s="72">
        <f t="shared" si="28"/>
        <v>2702.7000000000003</v>
      </c>
      <c r="AM55" s="81">
        <f t="shared" si="29"/>
        <v>375.375</v>
      </c>
      <c r="AN55" s="81">
        <f t="shared" si="40"/>
        <v>6256.25</v>
      </c>
      <c r="AO55" s="81">
        <f t="shared" si="41"/>
        <v>33658.625</v>
      </c>
      <c r="AP55" s="81">
        <f t="shared" si="42"/>
        <v>27402.375</v>
      </c>
      <c r="AQ55" s="83">
        <f t="shared" si="43"/>
        <v>15000</v>
      </c>
      <c r="AR55" s="72">
        <f t="shared" si="44"/>
        <v>0</v>
      </c>
      <c r="AS55" s="72">
        <v>0</v>
      </c>
      <c r="AT55" s="83">
        <f t="shared" si="45"/>
        <v>1800</v>
      </c>
      <c r="AU55" s="177">
        <f>VLOOKUP(D55,'[1]work-sAl'!$B$2:$Z$70,25,0)</f>
        <v>1800</v>
      </c>
      <c r="AV55" s="83">
        <f t="shared" si="46"/>
        <v>0</v>
      </c>
      <c r="AW55" s="177">
        <f>VLOOKUP(D55,'[1]work-sAl'!$B$2:$AA$70,26,0)</f>
        <v>0</v>
      </c>
      <c r="AX55" s="81">
        <v>392</v>
      </c>
      <c r="AY55" s="81">
        <v>0</v>
      </c>
      <c r="AZ55" s="81">
        <v>0</v>
      </c>
      <c r="BA55" s="81">
        <v>0</v>
      </c>
      <c r="BB55" s="81">
        <f t="shared" si="47"/>
        <v>3992</v>
      </c>
      <c r="BC55" s="81">
        <f t="shared" si="48"/>
        <v>29666.625</v>
      </c>
      <c r="BD55" s="92"/>
      <c r="BE55" s="81">
        <v>200000</v>
      </c>
      <c r="BF55" s="85">
        <v>0</v>
      </c>
      <c r="BG55" s="80">
        <f t="shared" si="49"/>
        <v>200000</v>
      </c>
      <c r="BH55" s="86">
        <f t="shared" si="50"/>
        <v>200000</v>
      </c>
      <c r="BI55" s="65"/>
      <c r="BJ55" s="65"/>
    </row>
    <row r="56" spans="2:62" s="93" customFormat="1" ht="36.200000000000003" customHeight="1" x14ac:dyDescent="0.3">
      <c r="B56" s="87">
        <v>52</v>
      </c>
      <c r="C56" s="88"/>
      <c r="D56" s="73">
        <v>10038</v>
      </c>
      <c r="E56" s="89"/>
      <c r="F56" s="72">
        <v>101433802930</v>
      </c>
      <c r="G56" s="72">
        <v>5607762161</v>
      </c>
      <c r="H56" s="75" t="s">
        <v>186</v>
      </c>
      <c r="I56" s="76"/>
      <c r="J56" s="76" t="s">
        <v>254</v>
      </c>
      <c r="K56" s="77" t="s">
        <v>109</v>
      </c>
      <c r="L56" s="78">
        <v>42929</v>
      </c>
      <c r="M56" s="89"/>
      <c r="N56" s="74">
        <v>46021</v>
      </c>
      <c r="O56" s="74" t="str">
        <f t="shared" si="30"/>
        <v>8 years,5 months</v>
      </c>
      <c r="P56" s="79">
        <v>26</v>
      </c>
      <c r="Q56" s="79">
        <v>0</v>
      </c>
      <c r="R56" s="79">
        <f>VLOOKUP(D56,'[1]work-sAl'!$B$2:$P$116,15,0)</f>
        <v>1</v>
      </c>
      <c r="S56" s="79">
        <v>0</v>
      </c>
      <c r="T56" s="79">
        <v>0</v>
      </c>
      <c r="U56" s="79">
        <f t="shared" si="22"/>
        <v>27</v>
      </c>
      <c r="V56" s="79">
        <v>89.5</v>
      </c>
      <c r="W56" s="90">
        <f t="shared" si="31"/>
        <v>50</v>
      </c>
      <c r="X56" s="88">
        <f t="shared" si="32"/>
        <v>39.5</v>
      </c>
      <c r="Y56" s="90">
        <f t="shared" si="33"/>
        <v>25</v>
      </c>
      <c r="Z56" s="79">
        <v>732</v>
      </c>
      <c r="AA56" s="81">
        <f t="shared" si="34"/>
        <v>9516</v>
      </c>
      <c r="AB56" s="81">
        <f t="shared" si="35"/>
        <v>3806.4</v>
      </c>
      <c r="AC56" s="81">
        <f t="shared" si="36"/>
        <v>1903.2</v>
      </c>
      <c r="AD56" s="81">
        <f t="shared" si="37"/>
        <v>1903.2</v>
      </c>
      <c r="AE56" s="81">
        <f t="shared" si="38"/>
        <v>1903.2</v>
      </c>
      <c r="AF56" s="82">
        <f t="shared" si="39"/>
        <v>91.5</v>
      </c>
      <c r="AG56" s="81">
        <f t="shared" si="23"/>
        <v>19032</v>
      </c>
      <c r="AH56" s="72">
        <f t="shared" si="24"/>
        <v>9882</v>
      </c>
      <c r="AI56" s="72">
        <f t="shared" si="25"/>
        <v>3952.8</v>
      </c>
      <c r="AJ56" s="72">
        <f t="shared" si="26"/>
        <v>1976.4</v>
      </c>
      <c r="AK56" s="72">
        <f t="shared" si="27"/>
        <v>1976.4</v>
      </c>
      <c r="AL56" s="72">
        <f t="shared" si="28"/>
        <v>1976.4</v>
      </c>
      <c r="AM56" s="81">
        <f t="shared" si="29"/>
        <v>3614.25</v>
      </c>
      <c r="AN56" s="81">
        <f t="shared" si="40"/>
        <v>4575</v>
      </c>
      <c r="AO56" s="81">
        <f t="shared" si="41"/>
        <v>27953.25</v>
      </c>
      <c r="AP56" s="81">
        <f t="shared" si="42"/>
        <v>23378.25</v>
      </c>
      <c r="AQ56" s="83">
        <f t="shared" si="43"/>
        <v>15000</v>
      </c>
      <c r="AR56" s="72">
        <f t="shared" si="44"/>
        <v>21000</v>
      </c>
      <c r="AS56" s="72">
        <v>0</v>
      </c>
      <c r="AT56" s="83">
        <f t="shared" si="45"/>
        <v>1800</v>
      </c>
      <c r="AU56" s="177">
        <f>VLOOKUP(D56,'[1]work-sAl'!$B$2:$Z$70,25,0)</f>
        <v>1800</v>
      </c>
      <c r="AV56" s="83">
        <f t="shared" si="46"/>
        <v>157.5</v>
      </c>
      <c r="AW56" s="177">
        <f>VLOOKUP(D56,'[1]work-sAl'!$B$2:$AA$70,26,0)</f>
        <v>195</v>
      </c>
      <c r="AX56" s="81">
        <v>0</v>
      </c>
      <c r="AY56" s="81">
        <v>1000</v>
      </c>
      <c r="AZ56" s="81">
        <v>0</v>
      </c>
      <c r="BA56" s="81">
        <v>0</v>
      </c>
      <c r="BB56" s="81">
        <f t="shared" si="47"/>
        <v>4952.5</v>
      </c>
      <c r="BC56" s="81">
        <f t="shared" si="48"/>
        <v>23000.75</v>
      </c>
      <c r="BD56" s="92"/>
      <c r="BE56" s="81">
        <v>10000</v>
      </c>
      <c r="BF56" s="85">
        <v>61500</v>
      </c>
      <c r="BG56" s="80">
        <f t="shared" si="49"/>
        <v>71500</v>
      </c>
      <c r="BH56" s="86">
        <f t="shared" si="50"/>
        <v>70500</v>
      </c>
      <c r="BI56" s="65"/>
      <c r="BJ56" s="65"/>
    </row>
    <row r="57" spans="2:62" s="93" customFormat="1" ht="36.200000000000003" customHeight="1" x14ac:dyDescent="0.3">
      <c r="B57" s="71">
        <v>53</v>
      </c>
      <c r="C57" s="88"/>
      <c r="D57" s="73">
        <v>10106</v>
      </c>
      <c r="E57" s="89"/>
      <c r="F57" s="72">
        <v>101869220684</v>
      </c>
      <c r="G57" s="72">
        <v>5611433292</v>
      </c>
      <c r="H57" s="75" t="s">
        <v>187</v>
      </c>
      <c r="I57" s="76"/>
      <c r="J57" s="76" t="s">
        <v>238</v>
      </c>
      <c r="K57" s="77" t="s">
        <v>109</v>
      </c>
      <c r="L57" s="78">
        <v>45325</v>
      </c>
      <c r="M57" s="89"/>
      <c r="N57" s="74">
        <v>46021</v>
      </c>
      <c r="O57" s="74" t="str">
        <f t="shared" si="30"/>
        <v>1 years,10 months</v>
      </c>
      <c r="P57" s="79">
        <v>27</v>
      </c>
      <c r="Q57" s="79">
        <v>0</v>
      </c>
      <c r="R57" s="79">
        <f>VLOOKUP(D57,'[1]work-sAl'!$B$2:$P$116,15,0)</f>
        <v>0</v>
      </c>
      <c r="S57" s="79">
        <v>0</v>
      </c>
      <c r="T57" s="79">
        <v>0</v>
      </c>
      <c r="U57" s="79">
        <f t="shared" si="22"/>
        <v>27</v>
      </c>
      <c r="V57" s="79">
        <v>91.5</v>
      </c>
      <c r="W57" s="90">
        <f t="shared" si="31"/>
        <v>50</v>
      </c>
      <c r="X57" s="88">
        <f t="shared" si="32"/>
        <v>41.5</v>
      </c>
      <c r="Y57" s="90">
        <f t="shared" si="33"/>
        <v>25</v>
      </c>
      <c r="Z57" s="79">
        <v>510</v>
      </c>
      <c r="AA57" s="81">
        <f t="shared" si="34"/>
        <v>6630</v>
      </c>
      <c r="AB57" s="81">
        <f t="shared" si="35"/>
        <v>2652</v>
      </c>
      <c r="AC57" s="81">
        <f t="shared" si="36"/>
        <v>1326</v>
      </c>
      <c r="AD57" s="81">
        <f t="shared" si="37"/>
        <v>1326</v>
      </c>
      <c r="AE57" s="81">
        <f t="shared" si="38"/>
        <v>1326</v>
      </c>
      <c r="AF57" s="82">
        <f t="shared" si="39"/>
        <v>63.75</v>
      </c>
      <c r="AG57" s="81">
        <f t="shared" si="23"/>
        <v>13260</v>
      </c>
      <c r="AH57" s="72">
        <f t="shared" si="24"/>
        <v>6885</v>
      </c>
      <c r="AI57" s="72">
        <f t="shared" si="25"/>
        <v>2754</v>
      </c>
      <c r="AJ57" s="72">
        <f t="shared" si="26"/>
        <v>1377</v>
      </c>
      <c r="AK57" s="72">
        <f t="shared" si="27"/>
        <v>1377</v>
      </c>
      <c r="AL57" s="72">
        <f t="shared" si="28"/>
        <v>1377</v>
      </c>
      <c r="AM57" s="81">
        <f t="shared" si="29"/>
        <v>2645.625</v>
      </c>
      <c r="AN57" s="81">
        <f t="shared" si="40"/>
        <v>3187.5</v>
      </c>
      <c r="AO57" s="81">
        <f t="shared" si="41"/>
        <v>19603.125</v>
      </c>
      <c r="AP57" s="81">
        <f t="shared" si="42"/>
        <v>16415.625</v>
      </c>
      <c r="AQ57" s="83">
        <f t="shared" si="43"/>
        <v>13661.625</v>
      </c>
      <c r="AR57" s="72">
        <f t="shared" si="44"/>
        <v>17642.8125</v>
      </c>
      <c r="AS57" s="72">
        <v>0</v>
      </c>
      <c r="AT57" s="83">
        <f t="shared" si="45"/>
        <v>1639.395</v>
      </c>
      <c r="AU57" s="177">
        <f>VLOOKUP(D57,'[1]work-sAl'!$B$2:$Z$70,25,0)</f>
        <v>1609</v>
      </c>
      <c r="AV57" s="83">
        <f t="shared" si="46"/>
        <v>132.32109374999999</v>
      </c>
      <c r="AW57" s="177">
        <f>VLOOKUP(D57,'[1]work-sAl'!$B$2:$AA$70,26,0)</f>
        <v>137</v>
      </c>
      <c r="AX57" s="81">
        <v>0</v>
      </c>
      <c r="AY57" s="81">
        <v>500</v>
      </c>
      <c r="AZ57" s="81">
        <v>0</v>
      </c>
      <c r="BA57" s="81">
        <v>0</v>
      </c>
      <c r="BB57" s="81">
        <f t="shared" si="47"/>
        <v>4017.7160937499998</v>
      </c>
      <c r="BC57" s="81">
        <f t="shared" si="48"/>
        <v>15585.408906250001</v>
      </c>
      <c r="BD57" s="92"/>
      <c r="BE57" s="81">
        <v>0</v>
      </c>
      <c r="BF57" s="85">
        <v>1000</v>
      </c>
      <c r="BG57" s="80">
        <f t="shared" si="49"/>
        <v>1000</v>
      </c>
      <c r="BH57" s="86">
        <f t="shared" si="50"/>
        <v>500</v>
      </c>
      <c r="BI57" s="65"/>
      <c r="BJ57" s="65"/>
    </row>
    <row r="58" spans="2:62" s="93" customFormat="1" ht="36.200000000000003" customHeight="1" x14ac:dyDescent="0.3">
      <c r="B58" s="87">
        <v>54</v>
      </c>
      <c r="C58" s="88"/>
      <c r="D58" s="73">
        <v>10107</v>
      </c>
      <c r="E58" s="92"/>
      <c r="F58" s="72">
        <v>101869589445</v>
      </c>
      <c r="G58" s="72">
        <v>5611520137</v>
      </c>
      <c r="H58" s="75" t="s">
        <v>220</v>
      </c>
      <c r="I58" s="94"/>
      <c r="J58" s="76" t="s">
        <v>238</v>
      </c>
      <c r="K58" s="77" t="s">
        <v>109</v>
      </c>
      <c r="L58" s="95">
        <v>45327</v>
      </c>
      <c r="M58" s="89"/>
      <c r="N58" s="74">
        <v>46021</v>
      </c>
      <c r="O58" s="74" t="str">
        <f t="shared" si="30"/>
        <v>1 years,10 months</v>
      </c>
      <c r="P58" s="79">
        <v>25.5</v>
      </c>
      <c r="Q58" s="79">
        <v>0</v>
      </c>
      <c r="R58" s="79">
        <f>VLOOKUP(D58,'[1]work-sAl'!$B$2:$P$116,15,0)</f>
        <v>1.5</v>
      </c>
      <c r="S58" s="79">
        <v>0</v>
      </c>
      <c r="T58" s="79">
        <v>0</v>
      </c>
      <c r="U58" s="79">
        <f t="shared" si="22"/>
        <v>27</v>
      </c>
      <c r="V58" s="79">
        <v>75.5</v>
      </c>
      <c r="W58" s="90">
        <f t="shared" si="31"/>
        <v>50</v>
      </c>
      <c r="X58" s="88">
        <f t="shared" si="32"/>
        <v>25.5</v>
      </c>
      <c r="Y58" s="90">
        <f t="shared" si="33"/>
        <v>25</v>
      </c>
      <c r="Z58" s="79">
        <v>510</v>
      </c>
      <c r="AA58" s="81">
        <f t="shared" ref="AA58" si="51">AG58*50%</f>
        <v>6630</v>
      </c>
      <c r="AB58" s="81">
        <f t="shared" ref="AB58" si="52">AG58*20%</f>
        <v>2652</v>
      </c>
      <c r="AC58" s="81">
        <f t="shared" ref="AC58" si="53">AG58*10%</f>
        <v>1326</v>
      </c>
      <c r="AD58" s="81">
        <f t="shared" ref="AD58" si="54">AG58*10%</f>
        <v>1326</v>
      </c>
      <c r="AE58" s="81">
        <f t="shared" ref="AE58" si="55">AG58*10%</f>
        <v>1326</v>
      </c>
      <c r="AF58" s="82">
        <f t="shared" ref="AF58" si="56">Z58/8</f>
        <v>63.75</v>
      </c>
      <c r="AG58" s="81">
        <f t="shared" si="23"/>
        <v>13260</v>
      </c>
      <c r="AH58" s="72">
        <f t="shared" si="24"/>
        <v>6885</v>
      </c>
      <c r="AI58" s="72">
        <f t="shared" si="25"/>
        <v>2754</v>
      </c>
      <c r="AJ58" s="72">
        <f t="shared" si="26"/>
        <v>1377</v>
      </c>
      <c r="AK58" s="72">
        <f t="shared" si="27"/>
        <v>1377</v>
      </c>
      <c r="AL58" s="72">
        <f t="shared" si="28"/>
        <v>1377</v>
      </c>
      <c r="AM58" s="81">
        <f t="shared" si="29"/>
        <v>1625.625</v>
      </c>
      <c r="AN58" s="81">
        <f t="shared" ref="AN58" si="57">SUM(W58*AF58)</f>
        <v>3187.5</v>
      </c>
      <c r="AO58" s="81">
        <f t="shared" ref="AO58" si="58">SUM(AH58:AN58)</f>
        <v>18583.125</v>
      </c>
      <c r="AP58" s="81">
        <f t="shared" ref="AP58" si="59">+AO58-AN58</f>
        <v>15395.625</v>
      </c>
      <c r="AQ58" s="83">
        <f t="shared" ref="AQ58" si="60">IF((AO58-AI58-AN58)&gt;=15000,15000,(AO58-AI58-AN58))</f>
        <v>12641.625</v>
      </c>
      <c r="AR58" s="72">
        <f t="shared" ref="AR58" si="61">IF(AG58&gt;21000,0,IF(((AO58)*90/100)&gt;21000,21000,((AO58)*90/100)))</f>
        <v>16724.8125</v>
      </c>
      <c r="AS58" s="72">
        <v>0</v>
      </c>
      <c r="AT58" s="83">
        <f t="shared" ref="AT58" si="62">AQ58*12%</f>
        <v>1516.9949999999999</v>
      </c>
      <c r="AU58" s="177">
        <f>VLOOKUP(D58,'[1]work-sAl'!$B$2:$Z$70,25,0)</f>
        <v>1528</v>
      </c>
      <c r="AV58" s="83">
        <f t="shared" ref="AV58" si="63">AR58*0.75%</f>
        <v>125.43609375</v>
      </c>
      <c r="AW58" s="177">
        <f>VLOOKUP(D58,'[1]work-sAl'!$B$2:$AA$70,26,0)</f>
        <v>130</v>
      </c>
      <c r="AX58" s="81">
        <v>0</v>
      </c>
      <c r="AY58" s="81">
        <v>0</v>
      </c>
      <c r="AZ58" s="81">
        <v>0</v>
      </c>
      <c r="BA58" s="81">
        <v>0</v>
      </c>
      <c r="BB58" s="81">
        <f t="shared" ref="BB58" si="64">SUM(AT58:BA58)</f>
        <v>3300.4310937499999</v>
      </c>
      <c r="BC58" s="81">
        <f t="shared" ref="BC58" si="65">+AO58-BB58+AS58</f>
        <v>15282.693906250001</v>
      </c>
      <c r="BD58" s="92"/>
      <c r="BE58" s="81">
        <v>0</v>
      </c>
      <c r="BF58" s="85"/>
      <c r="BG58" s="80"/>
      <c r="BH58" s="86"/>
      <c r="BI58" s="65"/>
      <c r="BJ58" s="65"/>
    </row>
    <row r="59" spans="2:62" s="93" customFormat="1" ht="36.200000000000003" customHeight="1" x14ac:dyDescent="0.3">
      <c r="B59" s="71">
        <v>55</v>
      </c>
      <c r="C59" s="88"/>
      <c r="D59" s="73">
        <v>10109</v>
      </c>
      <c r="E59" s="89"/>
      <c r="F59" s="72">
        <v>101869356678</v>
      </c>
      <c r="G59" s="72">
        <v>5611433553</v>
      </c>
      <c r="H59" s="75" t="s">
        <v>188</v>
      </c>
      <c r="I59" s="76"/>
      <c r="J59" s="76" t="s">
        <v>238</v>
      </c>
      <c r="K59" s="77" t="s">
        <v>109</v>
      </c>
      <c r="L59" s="78">
        <v>45330</v>
      </c>
      <c r="M59" s="89"/>
      <c r="N59" s="74">
        <v>46021</v>
      </c>
      <c r="O59" s="74" t="str">
        <f t="shared" si="30"/>
        <v>1 years,10 months</v>
      </c>
      <c r="P59" s="79">
        <v>26</v>
      </c>
      <c r="Q59" s="79">
        <v>0</v>
      </c>
      <c r="R59" s="79">
        <f>VLOOKUP(D59,'[1]work-sAl'!$B$2:$P$116,15,0)</f>
        <v>1</v>
      </c>
      <c r="S59" s="79">
        <v>0</v>
      </c>
      <c r="T59" s="79">
        <v>0</v>
      </c>
      <c r="U59" s="79">
        <f t="shared" si="22"/>
        <v>27</v>
      </c>
      <c r="V59" s="79">
        <v>99</v>
      </c>
      <c r="W59" s="90">
        <f t="shared" si="31"/>
        <v>50</v>
      </c>
      <c r="X59" s="88">
        <f t="shared" si="32"/>
        <v>49</v>
      </c>
      <c r="Y59" s="90">
        <f t="shared" si="33"/>
        <v>25</v>
      </c>
      <c r="Z59" s="79">
        <v>510</v>
      </c>
      <c r="AA59" s="81">
        <f t="shared" ref="AA59:AA68" si="66">AG59*50%</f>
        <v>6630</v>
      </c>
      <c r="AB59" s="81">
        <f t="shared" ref="AB59:AB68" si="67">AG59*20%</f>
        <v>2652</v>
      </c>
      <c r="AC59" s="81">
        <f t="shared" ref="AC59:AC68" si="68">AG59*10%</f>
        <v>1326</v>
      </c>
      <c r="AD59" s="81">
        <f t="shared" ref="AD59:AD68" si="69">AG59*10%</f>
        <v>1326</v>
      </c>
      <c r="AE59" s="81">
        <f t="shared" ref="AE59:AE68" si="70">AG59*10%</f>
        <v>1326</v>
      </c>
      <c r="AF59" s="82">
        <f t="shared" ref="AF59:AF68" si="71">Z59/8</f>
        <v>63.75</v>
      </c>
      <c r="AG59" s="81">
        <f t="shared" si="23"/>
        <v>13260</v>
      </c>
      <c r="AH59" s="72">
        <f t="shared" si="24"/>
        <v>6885</v>
      </c>
      <c r="AI59" s="72">
        <f t="shared" si="25"/>
        <v>2754</v>
      </c>
      <c r="AJ59" s="72">
        <f t="shared" si="26"/>
        <v>1377</v>
      </c>
      <c r="AK59" s="72">
        <f t="shared" si="27"/>
        <v>1377</v>
      </c>
      <c r="AL59" s="72">
        <f t="shared" si="28"/>
        <v>1377</v>
      </c>
      <c r="AM59" s="81">
        <f t="shared" si="29"/>
        <v>3123.75</v>
      </c>
      <c r="AN59" s="81">
        <f t="shared" ref="AN59:AN68" si="72">SUM(W59*AF59)</f>
        <v>3187.5</v>
      </c>
      <c r="AO59" s="81">
        <f t="shared" ref="AO59:AO68" si="73">SUM(AH59:AN59)</f>
        <v>20081.25</v>
      </c>
      <c r="AP59" s="81">
        <f t="shared" ref="AP59:AP68" si="74">+AO59-AN59</f>
        <v>16893.75</v>
      </c>
      <c r="AQ59" s="83">
        <f t="shared" ref="AQ59:AQ68" si="75">IF((AO59-AI59-AN59)&gt;=15000,15000,(AO59-AI59-AN59))</f>
        <v>14139.75</v>
      </c>
      <c r="AR59" s="72">
        <f t="shared" ref="AR59:AR68" si="76">IF(AG59&gt;21000,0,IF(((AO59)*90/100)&gt;21000,21000,((AO59)*90/100)))</f>
        <v>18073.125</v>
      </c>
      <c r="AS59" s="72">
        <v>0</v>
      </c>
      <c r="AT59" s="83">
        <f t="shared" ref="AT59:AT68" si="77">AQ59*12%</f>
        <v>1696.77</v>
      </c>
      <c r="AU59" s="177">
        <f>VLOOKUP(D59,'[1]work-sAl'!$B$2:$Z$70,25,0)</f>
        <v>1678</v>
      </c>
      <c r="AV59" s="83">
        <f t="shared" ref="AV59:AV68" si="78">AR59*0.75%</f>
        <v>135.54843750000001</v>
      </c>
      <c r="AW59" s="177">
        <f>VLOOKUP(D59,'[1]work-sAl'!$B$2:$AA$70,26,0)</f>
        <v>140</v>
      </c>
      <c r="AX59" s="81">
        <v>0</v>
      </c>
      <c r="AY59" s="81">
        <v>1000</v>
      </c>
      <c r="AZ59" s="81">
        <v>0</v>
      </c>
      <c r="BA59" s="81">
        <v>0</v>
      </c>
      <c r="BB59" s="81">
        <f t="shared" ref="BB59:BB68" si="79">SUM(AT59:BA59)</f>
        <v>4650.3184375000001</v>
      </c>
      <c r="BC59" s="81">
        <f t="shared" ref="BC59:BC68" si="80">+AO59-BB59+AS59</f>
        <v>15430.9315625</v>
      </c>
      <c r="BD59" s="92"/>
      <c r="BE59" s="81">
        <v>0</v>
      </c>
      <c r="BF59" s="85">
        <v>17000</v>
      </c>
      <c r="BG59" s="80">
        <f t="shared" ref="BG59:BG68" si="81">BE59+BF59</f>
        <v>17000</v>
      </c>
      <c r="BH59" s="86">
        <f t="shared" ref="BH59:BH68" si="82">BG59-AY59</f>
        <v>16000</v>
      </c>
      <c r="BI59" s="65"/>
      <c r="BJ59" s="65"/>
    </row>
    <row r="60" spans="2:62" s="93" customFormat="1" ht="36.200000000000003" customHeight="1" x14ac:dyDescent="0.3">
      <c r="B60" s="71">
        <v>56</v>
      </c>
      <c r="C60" s="88"/>
      <c r="D60" s="73">
        <v>10114</v>
      </c>
      <c r="E60" s="96"/>
      <c r="F60" s="72">
        <v>102250790983</v>
      </c>
      <c r="G60" s="72">
        <v>5611433187</v>
      </c>
      <c r="H60" s="75" t="s">
        <v>189</v>
      </c>
      <c r="I60" s="76"/>
      <c r="J60" s="76" t="s">
        <v>238</v>
      </c>
      <c r="K60" s="77" t="s">
        <v>109</v>
      </c>
      <c r="L60" s="78">
        <v>45390</v>
      </c>
      <c r="M60" s="89"/>
      <c r="N60" s="74">
        <v>46021</v>
      </c>
      <c r="O60" s="74" t="str">
        <f t="shared" si="30"/>
        <v>1 years,8 months</v>
      </c>
      <c r="P60" s="79">
        <v>25</v>
      </c>
      <c r="Q60" s="79">
        <v>0</v>
      </c>
      <c r="R60" s="79">
        <f>VLOOKUP(D60,'[1]work-sAl'!$B$2:$P$116,15,0)</f>
        <v>2</v>
      </c>
      <c r="S60" s="79">
        <v>0</v>
      </c>
      <c r="T60" s="79">
        <v>0</v>
      </c>
      <c r="U60" s="79">
        <f t="shared" si="22"/>
        <v>27</v>
      </c>
      <c r="V60" s="79">
        <v>104</v>
      </c>
      <c r="W60" s="90">
        <f t="shared" si="31"/>
        <v>50</v>
      </c>
      <c r="X60" s="88">
        <f t="shared" si="32"/>
        <v>54</v>
      </c>
      <c r="Y60" s="90">
        <f t="shared" si="33"/>
        <v>25</v>
      </c>
      <c r="Z60" s="79">
        <v>495</v>
      </c>
      <c r="AA60" s="81">
        <f t="shared" si="66"/>
        <v>6435</v>
      </c>
      <c r="AB60" s="81">
        <f t="shared" si="67"/>
        <v>2574</v>
      </c>
      <c r="AC60" s="81">
        <f t="shared" si="68"/>
        <v>1287</v>
      </c>
      <c r="AD60" s="81">
        <f t="shared" si="69"/>
        <v>1287</v>
      </c>
      <c r="AE60" s="81">
        <f t="shared" si="70"/>
        <v>1287</v>
      </c>
      <c r="AF60" s="82">
        <f t="shared" si="71"/>
        <v>61.875</v>
      </c>
      <c r="AG60" s="81">
        <f t="shared" si="23"/>
        <v>12870</v>
      </c>
      <c r="AH60" s="72">
        <f t="shared" si="24"/>
        <v>6682.5</v>
      </c>
      <c r="AI60" s="72">
        <f t="shared" si="25"/>
        <v>2673</v>
      </c>
      <c r="AJ60" s="72">
        <f t="shared" si="26"/>
        <v>1336.5</v>
      </c>
      <c r="AK60" s="72">
        <f t="shared" si="27"/>
        <v>1336.5</v>
      </c>
      <c r="AL60" s="72">
        <f t="shared" si="28"/>
        <v>1336.5</v>
      </c>
      <c r="AM60" s="81">
        <f t="shared" si="29"/>
        <v>3341.25</v>
      </c>
      <c r="AN60" s="81">
        <f t="shared" si="72"/>
        <v>3093.75</v>
      </c>
      <c r="AO60" s="81">
        <f t="shared" si="73"/>
        <v>19800</v>
      </c>
      <c r="AP60" s="81">
        <f t="shared" si="74"/>
        <v>16706.25</v>
      </c>
      <c r="AQ60" s="83">
        <f t="shared" si="75"/>
        <v>14033.25</v>
      </c>
      <c r="AR60" s="72">
        <f t="shared" si="76"/>
        <v>17820</v>
      </c>
      <c r="AS60" s="72">
        <v>0</v>
      </c>
      <c r="AT60" s="83">
        <f t="shared" si="77"/>
        <v>1683.99</v>
      </c>
      <c r="AU60" s="177">
        <f>VLOOKUP(D60,'[1]work-sAl'!$B$2:$Z$70,25,0)</f>
        <v>1671</v>
      </c>
      <c r="AV60" s="83">
        <f t="shared" si="78"/>
        <v>133.65</v>
      </c>
      <c r="AW60" s="177">
        <f>VLOOKUP(D60,'[1]work-sAl'!$B$2:$AA$70,26,0)</f>
        <v>137</v>
      </c>
      <c r="AX60" s="81">
        <v>0</v>
      </c>
      <c r="AY60" s="81">
        <v>0</v>
      </c>
      <c r="AZ60" s="81">
        <v>0</v>
      </c>
      <c r="BA60" s="81">
        <v>0</v>
      </c>
      <c r="BB60" s="81">
        <f t="shared" si="79"/>
        <v>3625.64</v>
      </c>
      <c r="BC60" s="81">
        <f t="shared" si="80"/>
        <v>16174.36</v>
      </c>
      <c r="BD60" s="92"/>
      <c r="BE60" s="81">
        <v>5000</v>
      </c>
      <c r="BF60" s="85">
        <v>5000</v>
      </c>
      <c r="BG60" s="80">
        <f t="shared" si="81"/>
        <v>10000</v>
      </c>
      <c r="BH60" s="86">
        <f t="shared" si="82"/>
        <v>10000</v>
      </c>
      <c r="BI60" s="65"/>
      <c r="BJ60" s="65"/>
    </row>
    <row r="61" spans="2:62" s="93" customFormat="1" ht="36.200000000000003" customHeight="1" x14ac:dyDescent="0.3">
      <c r="B61" s="87">
        <v>57</v>
      </c>
      <c r="C61" s="88"/>
      <c r="D61" s="73">
        <v>10007</v>
      </c>
      <c r="E61" s="89"/>
      <c r="F61" s="72">
        <v>100145500338</v>
      </c>
      <c r="G61" s="72">
        <v>0</v>
      </c>
      <c r="H61" s="75" t="s">
        <v>190</v>
      </c>
      <c r="I61" s="76"/>
      <c r="J61" s="76" t="s">
        <v>255</v>
      </c>
      <c r="K61" s="77" t="s">
        <v>55</v>
      </c>
      <c r="L61" s="78">
        <v>39052</v>
      </c>
      <c r="M61" s="89"/>
      <c r="N61" s="74">
        <v>46021</v>
      </c>
      <c r="O61" s="74" t="str">
        <f t="shared" si="30"/>
        <v>19 years,0 months</v>
      </c>
      <c r="P61" s="79">
        <v>26</v>
      </c>
      <c r="Q61" s="79">
        <v>0</v>
      </c>
      <c r="R61" s="79">
        <f>VLOOKUP(D61,'[1]work-sAl'!$B$2:$P$116,15,0)</f>
        <v>1</v>
      </c>
      <c r="S61" s="79">
        <v>0</v>
      </c>
      <c r="T61" s="79">
        <v>0</v>
      </c>
      <c r="U61" s="79">
        <f t="shared" si="22"/>
        <v>27</v>
      </c>
      <c r="V61" s="79">
        <v>77</v>
      </c>
      <c r="W61" s="90">
        <f t="shared" si="31"/>
        <v>50</v>
      </c>
      <c r="X61" s="88">
        <f t="shared" si="32"/>
        <v>27</v>
      </c>
      <c r="Y61" s="90">
        <f t="shared" si="33"/>
        <v>25</v>
      </c>
      <c r="Z61" s="79">
        <v>937</v>
      </c>
      <c r="AA61" s="81">
        <f t="shared" si="66"/>
        <v>12181</v>
      </c>
      <c r="AB61" s="81">
        <f t="shared" si="67"/>
        <v>4872.4000000000005</v>
      </c>
      <c r="AC61" s="81">
        <f t="shared" si="68"/>
        <v>2436.2000000000003</v>
      </c>
      <c r="AD61" s="81">
        <f t="shared" si="69"/>
        <v>2436.2000000000003</v>
      </c>
      <c r="AE61" s="81">
        <f t="shared" si="70"/>
        <v>2436.2000000000003</v>
      </c>
      <c r="AF61" s="82">
        <f t="shared" si="71"/>
        <v>117.125</v>
      </c>
      <c r="AG61" s="81">
        <f t="shared" si="23"/>
        <v>24362</v>
      </c>
      <c r="AH61" s="72">
        <f t="shared" si="24"/>
        <v>12649.5</v>
      </c>
      <c r="AI61" s="72">
        <f t="shared" si="25"/>
        <v>5059.8000000000011</v>
      </c>
      <c r="AJ61" s="72">
        <f t="shared" si="26"/>
        <v>2529.9000000000005</v>
      </c>
      <c r="AK61" s="72">
        <f t="shared" si="27"/>
        <v>2529.9000000000005</v>
      </c>
      <c r="AL61" s="72">
        <f t="shared" si="28"/>
        <v>2529.9000000000005</v>
      </c>
      <c r="AM61" s="81">
        <f t="shared" si="29"/>
        <v>3162.375</v>
      </c>
      <c r="AN61" s="81">
        <f t="shared" si="72"/>
        <v>5856.25</v>
      </c>
      <c r="AO61" s="81">
        <f t="shared" si="73"/>
        <v>34317.625000000007</v>
      </c>
      <c r="AP61" s="81">
        <f t="shared" si="74"/>
        <v>28461.375000000007</v>
      </c>
      <c r="AQ61" s="83">
        <f t="shared" si="75"/>
        <v>15000</v>
      </c>
      <c r="AR61" s="72">
        <f t="shared" si="76"/>
        <v>0</v>
      </c>
      <c r="AS61" s="72">
        <v>0</v>
      </c>
      <c r="AT61" s="83">
        <f t="shared" si="77"/>
        <v>1800</v>
      </c>
      <c r="AU61" s="177">
        <f>VLOOKUP(D61,'[1]work-sAl'!$B$2:$Z$70,25,0)</f>
        <v>1800</v>
      </c>
      <c r="AV61" s="83">
        <f t="shared" si="78"/>
        <v>0</v>
      </c>
      <c r="AW61" s="177">
        <f>VLOOKUP(D61,'[1]work-sAl'!$B$2:$AA$70,26,0)</f>
        <v>0</v>
      </c>
      <c r="AX61" s="81">
        <v>229</v>
      </c>
      <c r="AY61" s="81">
        <v>1000</v>
      </c>
      <c r="AZ61" s="81">
        <v>0</v>
      </c>
      <c r="BA61" s="81">
        <v>0</v>
      </c>
      <c r="BB61" s="81">
        <f t="shared" si="79"/>
        <v>4829</v>
      </c>
      <c r="BC61" s="81">
        <f t="shared" si="80"/>
        <v>29488.625000000007</v>
      </c>
      <c r="BD61" s="92"/>
      <c r="BE61" s="81">
        <v>0</v>
      </c>
      <c r="BF61" s="85">
        <v>23000</v>
      </c>
      <c r="BG61" s="80">
        <f t="shared" si="81"/>
        <v>23000</v>
      </c>
      <c r="BH61" s="86">
        <f t="shared" si="82"/>
        <v>22000</v>
      </c>
      <c r="BI61" s="65"/>
      <c r="BJ61" s="65"/>
    </row>
    <row r="62" spans="2:62" s="93" customFormat="1" ht="36.200000000000003" customHeight="1" x14ac:dyDescent="0.3">
      <c r="B62" s="71">
        <v>58</v>
      </c>
      <c r="C62" s="88"/>
      <c r="D62" s="73">
        <v>10502</v>
      </c>
      <c r="E62" s="89"/>
      <c r="F62" s="72">
        <v>100239285827</v>
      </c>
      <c r="G62" s="72">
        <v>0</v>
      </c>
      <c r="H62" s="75" t="s">
        <v>191</v>
      </c>
      <c r="I62" s="76"/>
      <c r="J62" s="76" t="s">
        <v>256</v>
      </c>
      <c r="K62" s="75" t="s">
        <v>201</v>
      </c>
      <c r="L62" s="97">
        <v>39239</v>
      </c>
      <c r="M62" s="89"/>
      <c r="N62" s="74">
        <v>46021</v>
      </c>
      <c r="O62" s="74" t="str">
        <f t="shared" si="30"/>
        <v>18 years,6 months</v>
      </c>
      <c r="P62" s="79">
        <v>26</v>
      </c>
      <c r="Q62" s="79">
        <v>0</v>
      </c>
      <c r="R62" s="79">
        <f>VLOOKUP(D62,'[1]work-sAl'!$B$2:$P$116,15,0)</f>
        <v>1</v>
      </c>
      <c r="S62" s="79">
        <v>0</v>
      </c>
      <c r="T62" s="79">
        <v>0</v>
      </c>
      <c r="U62" s="79">
        <f t="shared" si="22"/>
        <v>27</v>
      </c>
      <c r="V62" s="79">
        <v>24</v>
      </c>
      <c r="W62" s="90">
        <f t="shared" si="31"/>
        <v>24</v>
      </c>
      <c r="X62" s="88">
        <f t="shared" si="32"/>
        <v>0</v>
      </c>
      <c r="Y62" s="90">
        <f t="shared" si="33"/>
        <v>12</v>
      </c>
      <c r="Z62" s="79">
        <v>946</v>
      </c>
      <c r="AA62" s="81">
        <f t="shared" si="66"/>
        <v>12298</v>
      </c>
      <c r="AB62" s="81">
        <f t="shared" si="67"/>
        <v>4919.2000000000007</v>
      </c>
      <c r="AC62" s="81">
        <f t="shared" si="68"/>
        <v>2459.6000000000004</v>
      </c>
      <c r="AD62" s="81">
        <f t="shared" si="69"/>
        <v>2459.6000000000004</v>
      </c>
      <c r="AE62" s="81">
        <f t="shared" si="70"/>
        <v>2459.6000000000004</v>
      </c>
      <c r="AF62" s="82">
        <f t="shared" si="71"/>
        <v>118.25</v>
      </c>
      <c r="AG62" s="81">
        <f t="shared" si="23"/>
        <v>24596</v>
      </c>
      <c r="AH62" s="72">
        <f t="shared" si="24"/>
        <v>12771</v>
      </c>
      <c r="AI62" s="72">
        <f t="shared" si="25"/>
        <v>5108.4000000000005</v>
      </c>
      <c r="AJ62" s="72">
        <f t="shared" si="26"/>
        <v>2554.2000000000003</v>
      </c>
      <c r="AK62" s="72">
        <f t="shared" si="27"/>
        <v>2554.2000000000003</v>
      </c>
      <c r="AL62" s="72">
        <f t="shared" si="28"/>
        <v>2554.2000000000003</v>
      </c>
      <c r="AM62" s="81">
        <f t="shared" si="29"/>
        <v>0</v>
      </c>
      <c r="AN62" s="81">
        <f t="shared" si="72"/>
        <v>2838</v>
      </c>
      <c r="AO62" s="81">
        <f t="shared" si="73"/>
        <v>28380.000000000004</v>
      </c>
      <c r="AP62" s="81">
        <f t="shared" si="74"/>
        <v>25542.000000000004</v>
      </c>
      <c r="AQ62" s="83">
        <f t="shared" si="75"/>
        <v>15000</v>
      </c>
      <c r="AR62" s="72">
        <f t="shared" si="76"/>
        <v>0</v>
      </c>
      <c r="AS62" s="72">
        <v>0</v>
      </c>
      <c r="AT62" s="83">
        <f t="shared" si="77"/>
        <v>1800</v>
      </c>
      <c r="AU62" s="177">
        <f>VLOOKUP(D62,'[1]work-sAl'!$B$2:$Z$70,25,0)</f>
        <v>1800</v>
      </c>
      <c r="AV62" s="83">
        <f t="shared" si="78"/>
        <v>0</v>
      </c>
      <c r="AW62" s="177">
        <f>VLOOKUP(D62,'[1]work-sAl'!$B$2:$AA$70,26,0)</f>
        <v>0</v>
      </c>
      <c r="AX62" s="81">
        <v>0</v>
      </c>
      <c r="AY62" s="81">
        <v>0</v>
      </c>
      <c r="AZ62" s="81">
        <v>0</v>
      </c>
      <c r="BA62" s="81">
        <v>0</v>
      </c>
      <c r="BB62" s="81">
        <f t="shared" si="79"/>
        <v>3600</v>
      </c>
      <c r="BC62" s="81">
        <f t="shared" si="80"/>
        <v>24780.000000000004</v>
      </c>
      <c r="BD62" s="92"/>
      <c r="BE62" s="81">
        <v>0</v>
      </c>
      <c r="BF62" s="85">
        <v>73000</v>
      </c>
      <c r="BG62" s="80">
        <f t="shared" si="81"/>
        <v>73000</v>
      </c>
      <c r="BH62" s="86">
        <f t="shared" si="82"/>
        <v>73000</v>
      </c>
      <c r="BI62" s="65"/>
      <c r="BJ62" s="65"/>
    </row>
    <row r="63" spans="2:62" s="93" customFormat="1" ht="36.200000000000003" customHeight="1" x14ac:dyDescent="0.3">
      <c r="B63" s="87">
        <v>59</v>
      </c>
      <c r="C63" s="88"/>
      <c r="D63" s="73">
        <v>10509</v>
      </c>
      <c r="E63" s="89"/>
      <c r="F63" s="72">
        <v>101572428975</v>
      </c>
      <c r="G63" s="72">
        <v>5608404049</v>
      </c>
      <c r="H63" s="75" t="s">
        <v>192</v>
      </c>
      <c r="I63" s="76"/>
      <c r="J63" s="76" t="s">
        <v>257</v>
      </c>
      <c r="K63" s="75" t="s">
        <v>201</v>
      </c>
      <c r="L63" s="97">
        <v>43812</v>
      </c>
      <c r="M63" s="89"/>
      <c r="N63" s="74">
        <v>46021</v>
      </c>
      <c r="O63" s="74" t="str">
        <f t="shared" si="30"/>
        <v>6 years,0 months</v>
      </c>
      <c r="P63" s="79">
        <v>23</v>
      </c>
      <c r="Q63" s="79">
        <v>0</v>
      </c>
      <c r="R63" s="79">
        <f>VLOOKUP(D63,'[1]work-sAl'!$B$2:$P$116,15,0)</f>
        <v>2</v>
      </c>
      <c r="S63" s="79">
        <v>0</v>
      </c>
      <c r="T63" s="79">
        <v>0</v>
      </c>
      <c r="U63" s="79">
        <f t="shared" si="22"/>
        <v>25</v>
      </c>
      <c r="V63" s="79">
        <v>12.5</v>
      </c>
      <c r="W63" s="90">
        <f t="shared" si="31"/>
        <v>12.5</v>
      </c>
      <c r="X63" s="88">
        <f t="shared" si="32"/>
        <v>0</v>
      </c>
      <c r="Y63" s="90">
        <f t="shared" si="33"/>
        <v>6.25</v>
      </c>
      <c r="Z63" s="79">
        <v>462</v>
      </c>
      <c r="AA63" s="81">
        <f t="shared" si="66"/>
        <v>6006</v>
      </c>
      <c r="AB63" s="81">
        <f t="shared" si="67"/>
        <v>2402.4</v>
      </c>
      <c r="AC63" s="81">
        <f t="shared" si="68"/>
        <v>1201.2</v>
      </c>
      <c r="AD63" s="81">
        <f t="shared" si="69"/>
        <v>1201.2</v>
      </c>
      <c r="AE63" s="81">
        <f t="shared" si="70"/>
        <v>1201.2</v>
      </c>
      <c r="AF63" s="82">
        <f t="shared" si="71"/>
        <v>57.75</v>
      </c>
      <c r="AG63" s="81">
        <f t="shared" si="23"/>
        <v>12012</v>
      </c>
      <c r="AH63" s="72">
        <f t="shared" si="24"/>
        <v>5775</v>
      </c>
      <c r="AI63" s="72">
        <f t="shared" si="25"/>
        <v>2310</v>
      </c>
      <c r="AJ63" s="72">
        <f t="shared" si="26"/>
        <v>1155</v>
      </c>
      <c r="AK63" s="72">
        <f t="shared" si="27"/>
        <v>1155</v>
      </c>
      <c r="AL63" s="72">
        <f t="shared" si="28"/>
        <v>1155</v>
      </c>
      <c r="AM63" s="81">
        <f t="shared" si="29"/>
        <v>0</v>
      </c>
      <c r="AN63" s="81">
        <f t="shared" si="72"/>
        <v>721.875</v>
      </c>
      <c r="AO63" s="81">
        <f t="shared" si="73"/>
        <v>12271.875</v>
      </c>
      <c r="AP63" s="81">
        <f t="shared" si="74"/>
        <v>11550</v>
      </c>
      <c r="AQ63" s="83">
        <f t="shared" si="75"/>
        <v>9240</v>
      </c>
      <c r="AR63" s="72">
        <f t="shared" si="76"/>
        <v>11044.6875</v>
      </c>
      <c r="AS63" s="72">
        <v>0</v>
      </c>
      <c r="AT63" s="83">
        <f t="shared" si="77"/>
        <v>1108.8</v>
      </c>
      <c r="AU63" s="177">
        <f>VLOOKUP(D63,'[1]work-sAl'!$B$2:$Z$70,25,0)</f>
        <v>1219</v>
      </c>
      <c r="AV63" s="83">
        <f t="shared" si="78"/>
        <v>82.835156249999997</v>
      </c>
      <c r="AW63" s="177">
        <f>VLOOKUP(D63,'[1]work-sAl'!$B$2:$AA$70,26,0)</f>
        <v>84</v>
      </c>
      <c r="AX63" s="81">
        <v>0</v>
      </c>
      <c r="AY63" s="81">
        <v>500</v>
      </c>
      <c r="AZ63" s="81">
        <v>0</v>
      </c>
      <c r="BA63" s="81">
        <v>0</v>
      </c>
      <c r="BB63" s="81">
        <f t="shared" si="79"/>
        <v>2994.6351562500004</v>
      </c>
      <c r="BC63" s="81">
        <f t="shared" si="80"/>
        <v>9277.2398437499996</v>
      </c>
      <c r="BD63" s="92"/>
      <c r="BE63" s="81">
        <v>0</v>
      </c>
      <c r="BF63" s="85">
        <v>7000</v>
      </c>
      <c r="BG63" s="80">
        <f t="shared" si="81"/>
        <v>7000</v>
      </c>
      <c r="BH63" s="86">
        <f t="shared" si="82"/>
        <v>6500</v>
      </c>
      <c r="BI63" s="65"/>
      <c r="BJ63" s="65"/>
    </row>
    <row r="64" spans="2:62" s="93" customFormat="1" ht="36.200000000000003" customHeight="1" x14ac:dyDescent="0.3">
      <c r="B64" s="71">
        <v>60</v>
      </c>
      <c r="C64" s="88"/>
      <c r="D64" s="73">
        <v>10512</v>
      </c>
      <c r="E64" s="89"/>
      <c r="F64" s="72">
        <v>102049336719</v>
      </c>
      <c r="G64" s="72">
        <v>5610462752</v>
      </c>
      <c r="H64" s="75" t="s">
        <v>193</v>
      </c>
      <c r="I64" s="76"/>
      <c r="J64" s="76" t="s">
        <v>257</v>
      </c>
      <c r="K64" s="75" t="s">
        <v>201</v>
      </c>
      <c r="L64" s="97">
        <v>44699</v>
      </c>
      <c r="M64" s="89"/>
      <c r="N64" s="74">
        <v>46021</v>
      </c>
      <c r="O64" s="74" t="str">
        <f t="shared" si="30"/>
        <v>3 years,7 months</v>
      </c>
      <c r="P64" s="79">
        <v>8</v>
      </c>
      <c r="Q64" s="79">
        <v>0</v>
      </c>
      <c r="R64" s="79">
        <f>VLOOKUP(D64,'[1]work-sAl'!$B$2:$P$116,15,0)</f>
        <v>0</v>
      </c>
      <c r="S64" s="79">
        <v>0</v>
      </c>
      <c r="T64" s="79">
        <v>0</v>
      </c>
      <c r="U64" s="79">
        <f t="shared" si="22"/>
        <v>8</v>
      </c>
      <c r="V64" s="79">
        <v>8</v>
      </c>
      <c r="W64" s="90">
        <f t="shared" si="31"/>
        <v>8</v>
      </c>
      <c r="X64" s="88">
        <f t="shared" si="32"/>
        <v>0</v>
      </c>
      <c r="Y64" s="90">
        <f t="shared" si="33"/>
        <v>4</v>
      </c>
      <c r="Z64" s="79">
        <v>675</v>
      </c>
      <c r="AA64" s="81">
        <f t="shared" si="66"/>
        <v>8775</v>
      </c>
      <c r="AB64" s="81">
        <f t="shared" si="67"/>
        <v>3510</v>
      </c>
      <c r="AC64" s="81">
        <f t="shared" si="68"/>
        <v>1755</v>
      </c>
      <c r="AD64" s="81">
        <f t="shared" si="69"/>
        <v>1755</v>
      </c>
      <c r="AE64" s="81">
        <f t="shared" si="70"/>
        <v>1755</v>
      </c>
      <c r="AF64" s="82">
        <f t="shared" si="71"/>
        <v>84.375</v>
      </c>
      <c r="AG64" s="81">
        <f t="shared" si="23"/>
        <v>17550</v>
      </c>
      <c r="AH64" s="72">
        <f t="shared" si="24"/>
        <v>2700</v>
      </c>
      <c r="AI64" s="72">
        <f t="shared" si="25"/>
        <v>1080</v>
      </c>
      <c r="AJ64" s="72">
        <f t="shared" si="26"/>
        <v>540</v>
      </c>
      <c r="AK64" s="72">
        <f t="shared" si="27"/>
        <v>540</v>
      </c>
      <c r="AL64" s="72">
        <f t="shared" si="28"/>
        <v>540</v>
      </c>
      <c r="AM64" s="81">
        <f t="shared" si="29"/>
        <v>0</v>
      </c>
      <c r="AN64" s="81">
        <f t="shared" si="72"/>
        <v>675</v>
      </c>
      <c r="AO64" s="81">
        <f t="shared" si="73"/>
        <v>6075</v>
      </c>
      <c r="AP64" s="81">
        <f t="shared" si="74"/>
        <v>5400</v>
      </c>
      <c r="AQ64" s="83">
        <f t="shared" si="75"/>
        <v>4320</v>
      </c>
      <c r="AR64" s="72">
        <f t="shared" si="76"/>
        <v>5467.5</v>
      </c>
      <c r="AS64" s="72">
        <v>0</v>
      </c>
      <c r="AT64" s="83">
        <f t="shared" si="77"/>
        <v>518.4</v>
      </c>
      <c r="AU64" s="177">
        <f>VLOOKUP(D64,'[1]work-sAl'!$B$2:$Z$70,25,0)</f>
        <v>599</v>
      </c>
      <c r="AV64" s="83">
        <f t="shared" si="78"/>
        <v>41.006250000000001</v>
      </c>
      <c r="AW64" s="177">
        <f>VLOOKUP(D64,'[1]work-sAl'!$B$2:$AA$70,26,0)</f>
        <v>43</v>
      </c>
      <c r="AX64" s="81">
        <v>0</v>
      </c>
      <c r="AY64" s="81">
        <v>2000</v>
      </c>
      <c r="AZ64" s="81">
        <v>0</v>
      </c>
      <c r="BA64" s="81">
        <v>0</v>
      </c>
      <c r="BB64" s="81">
        <f t="shared" si="79"/>
        <v>3201.40625</v>
      </c>
      <c r="BC64" s="81">
        <f t="shared" si="80"/>
        <v>2873.59375</v>
      </c>
      <c r="BD64" s="92"/>
      <c r="BE64" s="81">
        <v>15000</v>
      </c>
      <c r="BF64" s="85">
        <v>162000</v>
      </c>
      <c r="BG64" s="80">
        <f t="shared" si="81"/>
        <v>177000</v>
      </c>
      <c r="BH64" s="86">
        <f t="shared" si="82"/>
        <v>175000</v>
      </c>
      <c r="BI64" s="65"/>
      <c r="BJ64" s="65"/>
    </row>
    <row r="65" spans="2:68" s="93" customFormat="1" ht="36.200000000000003" customHeight="1" x14ac:dyDescent="0.3">
      <c r="B65" s="71">
        <v>61</v>
      </c>
      <c r="C65" s="88"/>
      <c r="D65" s="73">
        <v>10503</v>
      </c>
      <c r="E65" s="89"/>
      <c r="F65" s="72">
        <v>100344394001</v>
      </c>
      <c r="G65" s="72">
        <v>5600620032</v>
      </c>
      <c r="H65" s="75" t="s">
        <v>194</v>
      </c>
      <c r="I65" s="76"/>
      <c r="J65" s="76" t="s">
        <v>257</v>
      </c>
      <c r="K65" s="75" t="s">
        <v>57</v>
      </c>
      <c r="L65" s="97">
        <v>39283</v>
      </c>
      <c r="M65" s="89"/>
      <c r="N65" s="74">
        <v>46021</v>
      </c>
      <c r="O65" s="74" t="str">
        <f t="shared" si="30"/>
        <v>18 years,5 months</v>
      </c>
      <c r="P65" s="79">
        <v>25</v>
      </c>
      <c r="Q65" s="79">
        <v>0</v>
      </c>
      <c r="R65" s="79">
        <f>VLOOKUP(D65,'[1]work-sAl'!$B$2:$P$116,15,0)</f>
        <v>1</v>
      </c>
      <c r="S65" s="79">
        <v>0</v>
      </c>
      <c r="T65" s="79">
        <v>0</v>
      </c>
      <c r="U65" s="79">
        <f t="shared" si="22"/>
        <v>26</v>
      </c>
      <c r="V65" s="79">
        <v>48</v>
      </c>
      <c r="W65" s="90">
        <f t="shared" si="31"/>
        <v>48</v>
      </c>
      <c r="X65" s="88">
        <f t="shared" si="32"/>
        <v>0</v>
      </c>
      <c r="Y65" s="90">
        <f t="shared" si="33"/>
        <v>24</v>
      </c>
      <c r="Z65" s="79">
        <v>600</v>
      </c>
      <c r="AA65" s="81">
        <f t="shared" si="66"/>
        <v>7800</v>
      </c>
      <c r="AB65" s="81">
        <f t="shared" si="67"/>
        <v>3120</v>
      </c>
      <c r="AC65" s="81">
        <f t="shared" si="68"/>
        <v>1560</v>
      </c>
      <c r="AD65" s="81">
        <f t="shared" si="69"/>
        <v>1560</v>
      </c>
      <c r="AE65" s="81">
        <f t="shared" si="70"/>
        <v>1560</v>
      </c>
      <c r="AF65" s="82">
        <f t="shared" si="71"/>
        <v>75</v>
      </c>
      <c r="AG65" s="81">
        <f t="shared" si="23"/>
        <v>15600</v>
      </c>
      <c r="AH65" s="72">
        <f t="shared" si="24"/>
        <v>7800</v>
      </c>
      <c r="AI65" s="72">
        <f t="shared" si="25"/>
        <v>3120</v>
      </c>
      <c r="AJ65" s="72">
        <f t="shared" si="26"/>
        <v>1560</v>
      </c>
      <c r="AK65" s="72">
        <f t="shared" si="27"/>
        <v>1560</v>
      </c>
      <c r="AL65" s="72">
        <f t="shared" si="28"/>
        <v>1560</v>
      </c>
      <c r="AM65" s="81">
        <f t="shared" si="29"/>
        <v>0</v>
      </c>
      <c r="AN65" s="81">
        <f t="shared" si="72"/>
        <v>3600</v>
      </c>
      <c r="AO65" s="81">
        <f t="shared" si="73"/>
        <v>19200</v>
      </c>
      <c r="AP65" s="81">
        <f t="shared" si="74"/>
        <v>15600</v>
      </c>
      <c r="AQ65" s="83">
        <f t="shared" si="75"/>
        <v>12480</v>
      </c>
      <c r="AR65" s="72">
        <f t="shared" si="76"/>
        <v>17280</v>
      </c>
      <c r="AS65" s="72">
        <v>0</v>
      </c>
      <c r="AT65" s="83">
        <f t="shared" si="77"/>
        <v>1497.6</v>
      </c>
      <c r="AU65" s="177">
        <f>VLOOKUP(D65,'[1]work-sAl'!$B$2:$Z$70,25,0)</f>
        <v>1800</v>
      </c>
      <c r="AV65" s="83">
        <f t="shared" si="78"/>
        <v>129.6</v>
      </c>
      <c r="AW65" s="177">
        <f>VLOOKUP(D65,'[1]work-sAl'!$B$2:$AA$70,26,0)</f>
        <v>135</v>
      </c>
      <c r="AX65" s="81">
        <v>0</v>
      </c>
      <c r="AY65" s="81">
        <v>500</v>
      </c>
      <c r="AZ65" s="81">
        <v>0</v>
      </c>
      <c r="BA65" s="81">
        <v>0</v>
      </c>
      <c r="BB65" s="81">
        <f t="shared" si="79"/>
        <v>4062.2</v>
      </c>
      <c r="BC65" s="81">
        <f t="shared" si="80"/>
        <v>15137.8</v>
      </c>
      <c r="BD65" s="92"/>
      <c r="BE65" s="81">
        <v>0</v>
      </c>
      <c r="BF65" s="85">
        <v>123000</v>
      </c>
      <c r="BG65" s="80">
        <f t="shared" si="81"/>
        <v>123000</v>
      </c>
      <c r="BH65" s="86">
        <f t="shared" si="82"/>
        <v>122500</v>
      </c>
      <c r="BI65" s="65"/>
      <c r="BJ65" s="65"/>
    </row>
    <row r="66" spans="2:68" s="93" customFormat="1" ht="36.200000000000003" customHeight="1" x14ac:dyDescent="0.3">
      <c r="B66" s="87">
        <v>62</v>
      </c>
      <c r="C66" s="88"/>
      <c r="D66" s="73">
        <v>10504</v>
      </c>
      <c r="E66" s="89"/>
      <c r="F66" s="72">
        <v>100297147011</v>
      </c>
      <c r="G66" s="72">
        <v>5600620033</v>
      </c>
      <c r="H66" s="75" t="s">
        <v>195</v>
      </c>
      <c r="I66" s="76"/>
      <c r="J66" s="76" t="s">
        <v>257</v>
      </c>
      <c r="K66" s="75" t="s">
        <v>57</v>
      </c>
      <c r="L66" s="97">
        <v>39615</v>
      </c>
      <c r="M66" s="89"/>
      <c r="N66" s="74">
        <v>46021</v>
      </c>
      <c r="O66" s="74" t="str">
        <f t="shared" si="30"/>
        <v>17 years,6 months</v>
      </c>
      <c r="P66" s="79">
        <v>25</v>
      </c>
      <c r="Q66" s="79">
        <v>0</v>
      </c>
      <c r="R66" s="79">
        <f>VLOOKUP(D66,'[1]work-sAl'!$B$2:$P$116,15,0)</f>
        <v>2</v>
      </c>
      <c r="S66" s="79">
        <v>0</v>
      </c>
      <c r="T66" s="79">
        <v>0</v>
      </c>
      <c r="U66" s="79">
        <f t="shared" si="22"/>
        <v>27</v>
      </c>
      <c r="V66" s="79">
        <v>47.5</v>
      </c>
      <c r="W66" s="90">
        <f t="shared" si="31"/>
        <v>47.5</v>
      </c>
      <c r="X66" s="88">
        <f t="shared" si="32"/>
        <v>0</v>
      </c>
      <c r="Y66" s="90">
        <f t="shared" si="33"/>
        <v>23.75</v>
      </c>
      <c r="Z66" s="79">
        <v>605</v>
      </c>
      <c r="AA66" s="81">
        <f t="shared" si="66"/>
        <v>7865</v>
      </c>
      <c r="AB66" s="81">
        <f t="shared" si="67"/>
        <v>3146</v>
      </c>
      <c r="AC66" s="81">
        <f t="shared" si="68"/>
        <v>1573</v>
      </c>
      <c r="AD66" s="81">
        <f t="shared" si="69"/>
        <v>1573</v>
      </c>
      <c r="AE66" s="81">
        <f t="shared" si="70"/>
        <v>1573</v>
      </c>
      <c r="AF66" s="82">
        <f t="shared" si="71"/>
        <v>75.625</v>
      </c>
      <c r="AG66" s="81">
        <f t="shared" si="23"/>
        <v>15730</v>
      </c>
      <c r="AH66" s="72">
        <f t="shared" si="24"/>
        <v>8167.5</v>
      </c>
      <c r="AI66" s="72">
        <f t="shared" si="25"/>
        <v>3267</v>
      </c>
      <c r="AJ66" s="72">
        <f t="shared" si="26"/>
        <v>1633.5</v>
      </c>
      <c r="AK66" s="72">
        <f t="shared" si="27"/>
        <v>1633.5</v>
      </c>
      <c r="AL66" s="72">
        <f t="shared" si="28"/>
        <v>1633.5</v>
      </c>
      <c r="AM66" s="81">
        <f t="shared" si="29"/>
        <v>0</v>
      </c>
      <c r="AN66" s="81">
        <f t="shared" si="72"/>
        <v>3592.1875</v>
      </c>
      <c r="AO66" s="81">
        <f t="shared" si="73"/>
        <v>19927.1875</v>
      </c>
      <c r="AP66" s="81">
        <f t="shared" si="74"/>
        <v>16335</v>
      </c>
      <c r="AQ66" s="83">
        <f t="shared" si="75"/>
        <v>13068</v>
      </c>
      <c r="AR66" s="72">
        <f t="shared" si="76"/>
        <v>17934.46875</v>
      </c>
      <c r="AS66" s="72">
        <v>0</v>
      </c>
      <c r="AT66" s="83">
        <f t="shared" si="77"/>
        <v>1568.1599999999999</v>
      </c>
      <c r="AU66" s="177">
        <f>VLOOKUP(D66,'[1]work-sAl'!$B$2:$Z$70,25,0)</f>
        <v>1800</v>
      </c>
      <c r="AV66" s="83">
        <f t="shared" si="78"/>
        <v>134.508515625</v>
      </c>
      <c r="AW66" s="177">
        <f>VLOOKUP(D66,'[1]work-sAl'!$B$2:$AA$70,26,0)</f>
        <v>140</v>
      </c>
      <c r="AX66" s="81">
        <v>0</v>
      </c>
      <c r="AY66" s="81">
        <v>500</v>
      </c>
      <c r="AZ66" s="81">
        <v>0</v>
      </c>
      <c r="BA66" s="81">
        <v>0</v>
      </c>
      <c r="BB66" s="81">
        <f t="shared" si="79"/>
        <v>4142.6685156250005</v>
      </c>
      <c r="BC66" s="81">
        <f t="shared" si="80"/>
        <v>15784.518984374999</v>
      </c>
      <c r="BD66" s="92"/>
      <c r="BE66" s="81">
        <v>0</v>
      </c>
      <c r="BF66" s="85">
        <v>2500</v>
      </c>
      <c r="BG66" s="80">
        <f t="shared" si="81"/>
        <v>2500</v>
      </c>
      <c r="BH66" s="86">
        <f t="shared" si="82"/>
        <v>2000</v>
      </c>
      <c r="BI66" s="65"/>
      <c r="BJ66" s="65"/>
    </row>
    <row r="67" spans="2:68" s="93" customFormat="1" ht="36.200000000000003" customHeight="1" x14ac:dyDescent="0.3">
      <c r="B67" s="71">
        <v>63</v>
      </c>
      <c r="C67" s="88"/>
      <c r="D67" s="73">
        <v>10505</v>
      </c>
      <c r="E67" s="89"/>
      <c r="F67" s="72">
        <v>100272405488</v>
      </c>
      <c r="G67" s="72">
        <v>5604690598</v>
      </c>
      <c r="H67" s="75" t="s">
        <v>196</v>
      </c>
      <c r="I67" s="76"/>
      <c r="J67" s="76" t="s">
        <v>257</v>
      </c>
      <c r="K67" s="75" t="s">
        <v>57</v>
      </c>
      <c r="L67" s="97">
        <v>40205</v>
      </c>
      <c r="M67" s="89"/>
      <c r="N67" s="74">
        <v>46021</v>
      </c>
      <c r="O67" s="74" t="str">
        <f t="shared" si="30"/>
        <v>15 years,11 months</v>
      </c>
      <c r="P67" s="79">
        <v>25</v>
      </c>
      <c r="Q67" s="79">
        <v>0</v>
      </c>
      <c r="R67" s="79">
        <f>VLOOKUP(D67,'[1]work-sAl'!$B$2:$P$116,15,0)</f>
        <v>2</v>
      </c>
      <c r="S67" s="79">
        <v>0</v>
      </c>
      <c r="T67" s="79">
        <v>0</v>
      </c>
      <c r="U67" s="79">
        <f t="shared" si="22"/>
        <v>27</v>
      </c>
      <c r="V67" s="79">
        <v>2</v>
      </c>
      <c r="W67" s="90">
        <f t="shared" si="31"/>
        <v>2</v>
      </c>
      <c r="X67" s="88">
        <f t="shared" si="32"/>
        <v>0</v>
      </c>
      <c r="Y67" s="90">
        <f t="shared" si="33"/>
        <v>1</v>
      </c>
      <c r="Z67" s="79">
        <v>560</v>
      </c>
      <c r="AA67" s="81">
        <f t="shared" si="66"/>
        <v>7280</v>
      </c>
      <c r="AB67" s="81">
        <f t="shared" si="67"/>
        <v>2912</v>
      </c>
      <c r="AC67" s="81">
        <f t="shared" si="68"/>
        <v>1456</v>
      </c>
      <c r="AD67" s="81">
        <f t="shared" si="69"/>
        <v>1456</v>
      </c>
      <c r="AE67" s="81">
        <f t="shared" si="70"/>
        <v>1456</v>
      </c>
      <c r="AF67" s="82">
        <f t="shared" si="71"/>
        <v>70</v>
      </c>
      <c r="AG67" s="81">
        <f t="shared" si="23"/>
        <v>14560</v>
      </c>
      <c r="AH67" s="72">
        <f t="shared" si="24"/>
        <v>7560</v>
      </c>
      <c r="AI67" s="72">
        <f t="shared" si="25"/>
        <v>3024</v>
      </c>
      <c r="AJ67" s="72">
        <f t="shared" si="26"/>
        <v>1512</v>
      </c>
      <c r="AK67" s="72">
        <f t="shared" si="27"/>
        <v>1512</v>
      </c>
      <c r="AL67" s="72">
        <f t="shared" si="28"/>
        <v>1512</v>
      </c>
      <c r="AM67" s="81">
        <f t="shared" si="29"/>
        <v>0</v>
      </c>
      <c r="AN67" s="81">
        <f t="shared" si="72"/>
        <v>140</v>
      </c>
      <c r="AO67" s="81">
        <f t="shared" si="73"/>
        <v>15260</v>
      </c>
      <c r="AP67" s="81">
        <f t="shared" si="74"/>
        <v>15120</v>
      </c>
      <c r="AQ67" s="83">
        <f t="shared" si="75"/>
        <v>12096</v>
      </c>
      <c r="AR67" s="72">
        <f t="shared" si="76"/>
        <v>13734</v>
      </c>
      <c r="AS67" s="72">
        <v>0</v>
      </c>
      <c r="AT67" s="83">
        <f t="shared" si="77"/>
        <v>1451.52</v>
      </c>
      <c r="AU67" s="177">
        <f>VLOOKUP(D67,'[1]work-sAl'!$B$2:$Z$70,25,0)</f>
        <v>1495</v>
      </c>
      <c r="AV67" s="83">
        <f t="shared" si="78"/>
        <v>103.005</v>
      </c>
      <c r="AW67" s="177">
        <f>VLOOKUP(D67,'[1]work-sAl'!$B$2:$AA$70,26,0)</f>
        <v>105</v>
      </c>
      <c r="AX67" s="81">
        <v>0</v>
      </c>
      <c r="AY67" s="81">
        <v>0</v>
      </c>
      <c r="AZ67" s="81">
        <v>0</v>
      </c>
      <c r="BA67" s="81">
        <v>0</v>
      </c>
      <c r="BB67" s="81">
        <f t="shared" si="79"/>
        <v>3154.5250000000001</v>
      </c>
      <c r="BC67" s="81">
        <f t="shared" si="80"/>
        <v>12105.475</v>
      </c>
      <c r="BD67" s="92"/>
      <c r="BE67" s="81">
        <v>0</v>
      </c>
      <c r="BF67" s="85">
        <v>0</v>
      </c>
      <c r="BG67" s="80">
        <f t="shared" si="81"/>
        <v>0</v>
      </c>
      <c r="BH67" s="86">
        <f t="shared" si="82"/>
        <v>0</v>
      </c>
      <c r="BI67" s="65"/>
      <c r="BJ67" s="65"/>
    </row>
    <row r="68" spans="2:68" s="93" customFormat="1" ht="36.200000000000003" customHeight="1" x14ac:dyDescent="0.3">
      <c r="B68" s="87">
        <v>64</v>
      </c>
      <c r="C68" s="88"/>
      <c r="D68" s="73">
        <v>10508</v>
      </c>
      <c r="E68" s="89"/>
      <c r="F68" s="72">
        <v>101602334402</v>
      </c>
      <c r="G68" s="72">
        <v>5608455386</v>
      </c>
      <c r="H68" s="75" t="s">
        <v>197</v>
      </c>
      <c r="I68" s="76"/>
      <c r="J68" s="76" t="s">
        <v>257</v>
      </c>
      <c r="K68" s="75" t="s">
        <v>57</v>
      </c>
      <c r="L68" s="97">
        <v>43434</v>
      </c>
      <c r="M68" s="89"/>
      <c r="N68" s="74">
        <v>46021</v>
      </c>
      <c r="O68" s="74" t="str">
        <f t="shared" ref="O68:O71" si="83">DATEDIF(L68,N68,"y")&amp;" years,"&amp;DATEDIF(L68,N68,"ym")&amp;" months"</f>
        <v>7 years,1 months</v>
      </c>
      <c r="P68" s="79">
        <v>27</v>
      </c>
      <c r="Q68" s="79">
        <v>0</v>
      </c>
      <c r="R68" s="79">
        <f>VLOOKUP(D68,'[1]work-sAl'!$B$2:$P$116,15,0)</f>
        <v>0</v>
      </c>
      <c r="S68" s="79">
        <v>0</v>
      </c>
      <c r="T68" s="79">
        <v>0</v>
      </c>
      <c r="U68" s="79">
        <f t="shared" si="22"/>
        <v>27</v>
      </c>
      <c r="V68" s="79">
        <v>49.5</v>
      </c>
      <c r="W68" s="90">
        <f t="shared" ref="W68:W69" si="84">IF(V68&lt;=50,V68,IF(V68&gt;=50,50,))</f>
        <v>49.5</v>
      </c>
      <c r="X68" s="88">
        <f t="shared" ref="X68:X69" si="85">SUM(V68-W68)</f>
        <v>0</v>
      </c>
      <c r="Y68" s="90">
        <f t="shared" si="33"/>
        <v>24.75</v>
      </c>
      <c r="Z68" s="79">
        <v>445</v>
      </c>
      <c r="AA68" s="81">
        <f t="shared" si="66"/>
        <v>5785</v>
      </c>
      <c r="AB68" s="81">
        <f t="shared" si="67"/>
        <v>2314</v>
      </c>
      <c r="AC68" s="81">
        <f t="shared" si="68"/>
        <v>1157</v>
      </c>
      <c r="AD68" s="81">
        <f t="shared" si="69"/>
        <v>1157</v>
      </c>
      <c r="AE68" s="81">
        <f t="shared" si="70"/>
        <v>1157</v>
      </c>
      <c r="AF68" s="82">
        <f t="shared" si="71"/>
        <v>55.625</v>
      </c>
      <c r="AG68" s="81">
        <f t="shared" si="23"/>
        <v>11570</v>
      </c>
      <c r="AH68" s="72">
        <f t="shared" si="24"/>
        <v>6007.5</v>
      </c>
      <c r="AI68" s="72">
        <f t="shared" si="25"/>
        <v>2403</v>
      </c>
      <c r="AJ68" s="72">
        <f t="shared" si="26"/>
        <v>1201.5</v>
      </c>
      <c r="AK68" s="72">
        <f t="shared" si="27"/>
        <v>1201.5</v>
      </c>
      <c r="AL68" s="72">
        <f t="shared" si="28"/>
        <v>1201.5</v>
      </c>
      <c r="AM68" s="81">
        <f t="shared" si="29"/>
        <v>0</v>
      </c>
      <c r="AN68" s="81">
        <f t="shared" si="72"/>
        <v>2753.4375</v>
      </c>
      <c r="AO68" s="81">
        <f t="shared" si="73"/>
        <v>14768.4375</v>
      </c>
      <c r="AP68" s="81">
        <f t="shared" si="74"/>
        <v>12015</v>
      </c>
      <c r="AQ68" s="83">
        <f t="shared" si="75"/>
        <v>9612</v>
      </c>
      <c r="AR68" s="72">
        <f t="shared" si="76"/>
        <v>13291.59375</v>
      </c>
      <c r="AS68" s="72">
        <v>0</v>
      </c>
      <c r="AT68" s="83">
        <f t="shared" si="77"/>
        <v>1153.44</v>
      </c>
      <c r="AU68" s="177">
        <f>VLOOKUP(D68,'[1]work-sAl'!$B$2:$Z$70,25,0)</f>
        <v>1484</v>
      </c>
      <c r="AV68" s="83">
        <f t="shared" si="78"/>
        <v>99.686953125000002</v>
      </c>
      <c r="AW68" s="177">
        <f>VLOOKUP(D68,'[1]work-sAl'!$B$2:$AA$70,26,0)</f>
        <v>101</v>
      </c>
      <c r="AX68" s="81">
        <v>0</v>
      </c>
      <c r="AY68" s="81">
        <v>0</v>
      </c>
      <c r="AZ68" s="81">
        <v>0</v>
      </c>
      <c r="BA68" s="81">
        <v>0</v>
      </c>
      <c r="BB68" s="81">
        <f t="shared" si="79"/>
        <v>2838.126953125</v>
      </c>
      <c r="BC68" s="81">
        <f t="shared" si="80"/>
        <v>11930.310546875</v>
      </c>
      <c r="BD68" s="92"/>
      <c r="BE68" s="81">
        <v>0</v>
      </c>
      <c r="BF68" s="85">
        <v>0</v>
      </c>
      <c r="BG68" s="80">
        <f t="shared" si="81"/>
        <v>0</v>
      </c>
      <c r="BH68" s="86">
        <f t="shared" si="82"/>
        <v>0</v>
      </c>
      <c r="BI68" s="65"/>
      <c r="BJ68" s="65"/>
    </row>
    <row r="69" spans="2:68" s="93" customFormat="1" ht="36.200000000000003" customHeight="1" x14ac:dyDescent="0.3">
      <c r="B69" s="71">
        <v>65</v>
      </c>
      <c r="C69" s="88"/>
      <c r="D69" s="73">
        <v>10507</v>
      </c>
      <c r="E69" s="89"/>
      <c r="F69" s="72">
        <v>101602334378</v>
      </c>
      <c r="G69" s="72">
        <v>5608455690</v>
      </c>
      <c r="H69" s="75" t="s">
        <v>198</v>
      </c>
      <c r="I69" s="76"/>
      <c r="J69" s="76" t="s">
        <v>257</v>
      </c>
      <c r="K69" s="75" t="s">
        <v>57</v>
      </c>
      <c r="L69" s="97">
        <v>42917</v>
      </c>
      <c r="M69" s="89"/>
      <c r="N69" s="74">
        <v>46021</v>
      </c>
      <c r="O69" s="74" t="str">
        <f t="shared" si="83"/>
        <v>8 years,5 months</v>
      </c>
      <c r="P69" s="79">
        <v>22</v>
      </c>
      <c r="Q69" s="79">
        <v>0</v>
      </c>
      <c r="R69" s="79">
        <f>VLOOKUP(D69,'[1]work-sAl'!$B$2:$P$116,15,0)</f>
        <v>2</v>
      </c>
      <c r="S69" s="79">
        <v>0</v>
      </c>
      <c r="T69" s="79">
        <v>0</v>
      </c>
      <c r="U69" s="79">
        <f t="shared" si="22"/>
        <v>24</v>
      </c>
      <c r="V69" s="79">
        <v>8.5</v>
      </c>
      <c r="W69" s="90">
        <f t="shared" si="84"/>
        <v>8.5</v>
      </c>
      <c r="X69" s="88">
        <f t="shared" si="85"/>
        <v>0</v>
      </c>
      <c r="Y69" s="90">
        <f t="shared" si="33"/>
        <v>4.25</v>
      </c>
      <c r="Z69" s="79">
        <v>440</v>
      </c>
      <c r="AA69" s="81">
        <f t="shared" ref="AA69" si="86">AG69*50%</f>
        <v>5720</v>
      </c>
      <c r="AB69" s="81">
        <f t="shared" ref="AB69" si="87">AG69*20%</f>
        <v>2288</v>
      </c>
      <c r="AC69" s="81">
        <f t="shared" ref="AC69" si="88">AG69*10%</f>
        <v>1144</v>
      </c>
      <c r="AD69" s="81">
        <f t="shared" ref="AD69" si="89">AG69*10%</f>
        <v>1144</v>
      </c>
      <c r="AE69" s="81">
        <f t="shared" ref="AE69" si="90">AG69*10%</f>
        <v>1144</v>
      </c>
      <c r="AF69" s="82">
        <f t="shared" ref="AF69" si="91">Z69/8</f>
        <v>55</v>
      </c>
      <c r="AG69" s="81">
        <f t="shared" si="23"/>
        <v>11440</v>
      </c>
      <c r="AH69" s="72">
        <f t="shared" si="24"/>
        <v>5280</v>
      </c>
      <c r="AI69" s="72">
        <f t="shared" si="25"/>
        <v>2112</v>
      </c>
      <c r="AJ69" s="72">
        <f t="shared" si="26"/>
        <v>1056</v>
      </c>
      <c r="AK69" s="72">
        <f t="shared" si="27"/>
        <v>1056</v>
      </c>
      <c r="AL69" s="72">
        <f t="shared" si="28"/>
        <v>1056</v>
      </c>
      <c r="AM69" s="81">
        <f t="shared" ref="AM69:AM71" si="92">SUM(X69*AF69)</f>
        <v>0</v>
      </c>
      <c r="AN69" s="81">
        <f t="shared" ref="AN69" si="93">SUM(W69*AF69)</f>
        <v>467.5</v>
      </c>
      <c r="AO69" s="81">
        <f t="shared" ref="AO69" si="94">SUM(AH69:AN69)</f>
        <v>11027.5</v>
      </c>
      <c r="AP69" s="81">
        <f t="shared" ref="AP69" si="95">+AO69-AN69</f>
        <v>10560</v>
      </c>
      <c r="AQ69" s="83">
        <f t="shared" ref="AQ69" si="96">IF((AO69-AI69-AN69)&gt;=15000,15000,(AO69-AI69-AN69))</f>
        <v>8448</v>
      </c>
      <c r="AR69" s="72">
        <f t="shared" ref="AR69" si="97">IF(AG69&gt;21000,0,IF(((AO69)*90/100)&gt;21000,21000,((AO69)*90/100)))</f>
        <v>9924.75</v>
      </c>
      <c r="AS69" s="72">
        <v>0</v>
      </c>
      <c r="AT69" s="83">
        <f t="shared" ref="AT69" si="98">AQ69*12%</f>
        <v>1013.76</v>
      </c>
      <c r="AU69" s="177">
        <f>VLOOKUP(D69,'[1]work-sAl'!$B$2:$Z$70,25,0)</f>
        <v>1091</v>
      </c>
      <c r="AV69" s="83">
        <f t="shared" ref="AV69" si="99">AR69*0.75%</f>
        <v>74.435625000000002</v>
      </c>
      <c r="AW69" s="177">
        <f>VLOOKUP(D69,'[1]work-sAl'!$B$2:$AA$70,26,0)</f>
        <v>75</v>
      </c>
      <c r="AX69" s="81">
        <v>0</v>
      </c>
      <c r="AY69" s="81">
        <v>0</v>
      </c>
      <c r="AZ69" s="81">
        <v>0</v>
      </c>
      <c r="BA69" s="81">
        <v>0</v>
      </c>
      <c r="BB69" s="81">
        <f t="shared" ref="BB69" si="100">SUM(AT69:BA69)</f>
        <v>2254.1956250000003</v>
      </c>
      <c r="BC69" s="81">
        <f t="shared" ref="BC69" si="101">+AO69-BB69+AS69</f>
        <v>8773.3043749999997</v>
      </c>
      <c r="BD69" s="92"/>
      <c r="BE69" s="81">
        <v>0</v>
      </c>
      <c r="BF69" s="85">
        <v>0</v>
      </c>
      <c r="BG69" s="80">
        <f t="shared" ref="BG69" si="102">BE69+BF69</f>
        <v>0</v>
      </c>
      <c r="BH69" s="86">
        <f t="shared" ref="BH69" si="103">BG69-AY69</f>
        <v>0</v>
      </c>
      <c r="BI69" s="65"/>
      <c r="BJ69" s="65"/>
    </row>
    <row r="70" spans="2:68" s="93" customFormat="1" ht="36.200000000000003" customHeight="1" x14ac:dyDescent="0.3">
      <c r="B70" s="71">
        <v>66</v>
      </c>
      <c r="C70" s="88"/>
      <c r="D70" s="73">
        <v>10611</v>
      </c>
      <c r="E70" s="89"/>
      <c r="F70" s="72">
        <v>102026139037</v>
      </c>
      <c r="G70" s="72">
        <v>5611433158</v>
      </c>
      <c r="H70" s="75" t="s">
        <v>199</v>
      </c>
      <c r="I70" s="76"/>
      <c r="J70" s="76" t="s">
        <v>238</v>
      </c>
      <c r="K70" s="75" t="s">
        <v>92</v>
      </c>
      <c r="L70" s="97">
        <v>45681</v>
      </c>
      <c r="M70" s="89"/>
      <c r="N70" s="74">
        <v>46021</v>
      </c>
      <c r="O70" s="74" t="str">
        <f t="shared" si="83"/>
        <v>0 years,11 months</v>
      </c>
      <c r="P70" s="79">
        <v>27</v>
      </c>
      <c r="Q70" s="79">
        <v>0</v>
      </c>
      <c r="R70" s="79">
        <f>VLOOKUP(D70,'[1]work-sAl'!$B$2:$P$116,15,0)</f>
        <v>0</v>
      </c>
      <c r="S70" s="79">
        <v>0</v>
      </c>
      <c r="T70" s="79">
        <v>0</v>
      </c>
      <c r="U70" s="79">
        <f t="shared" ref="U70:U73" si="104">SUM(P70:T70)</f>
        <v>27</v>
      </c>
      <c r="V70" s="79">
        <v>87.5</v>
      </c>
      <c r="W70" s="90">
        <f t="shared" ref="W70:W71" si="105">IF(V70&lt;=50,V70,IF(V70&gt;=50,50,))</f>
        <v>50</v>
      </c>
      <c r="X70" s="88">
        <f t="shared" ref="X70:X71" si="106">SUM(V70-W70)</f>
        <v>37.5</v>
      </c>
      <c r="Y70" s="90">
        <f t="shared" ref="Y70:Y71" si="107">W70/2</f>
        <v>25</v>
      </c>
      <c r="Z70" s="79">
        <v>810</v>
      </c>
      <c r="AA70" s="81">
        <f t="shared" ref="AA70:AA71" si="108">AG70*50%</f>
        <v>10530</v>
      </c>
      <c r="AB70" s="81">
        <f t="shared" ref="AB70:AB71" si="109">AG70*20%</f>
        <v>4212</v>
      </c>
      <c r="AC70" s="81">
        <f t="shared" ref="AC70:AC71" si="110">AG70*10%</f>
        <v>2106</v>
      </c>
      <c r="AD70" s="81">
        <f t="shared" ref="AD70:AD71" si="111">AG70*10%</f>
        <v>2106</v>
      </c>
      <c r="AE70" s="81">
        <f t="shared" ref="AE70:AE71" si="112">AG70*10%</f>
        <v>2106</v>
      </c>
      <c r="AF70" s="82">
        <f t="shared" ref="AF70:AF71" si="113">Z70/8</f>
        <v>101.25</v>
      </c>
      <c r="AG70" s="81">
        <f t="shared" ref="AG70:AG73" si="114">Z70*26</f>
        <v>21060</v>
      </c>
      <c r="AH70" s="72">
        <f t="shared" ref="AH70:AH73" si="115">+AA70/26*U70</f>
        <v>10935</v>
      </c>
      <c r="AI70" s="72">
        <f t="shared" ref="AI70:AI73" si="116">+AB70/26*U70</f>
        <v>4374</v>
      </c>
      <c r="AJ70" s="72">
        <f t="shared" ref="AJ70:AJ73" si="117">+AC70/26*U70</f>
        <v>2187</v>
      </c>
      <c r="AK70" s="72">
        <f t="shared" ref="AK70:AK73" si="118">+AD70/26*U70</f>
        <v>2187</v>
      </c>
      <c r="AL70" s="72">
        <f t="shared" ref="AL70:AL73" si="119">+AE70/26*U70</f>
        <v>2187</v>
      </c>
      <c r="AM70" s="81">
        <f t="shared" si="92"/>
        <v>3796.875</v>
      </c>
      <c r="AN70" s="81">
        <f t="shared" ref="AN70:AN71" si="120">SUM(W70*AF70)</f>
        <v>5062.5</v>
      </c>
      <c r="AO70" s="81">
        <f t="shared" ref="AO70:AO71" si="121">SUM(AH70:AN70)</f>
        <v>30729.375</v>
      </c>
      <c r="AP70" s="81">
        <f t="shared" ref="AP70:AP71" si="122">+AO70-AN70</f>
        <v>25666.875</v>
      </c>
      <c r="AQ70" s="83">
        <f t="shared" ref="AQ70:AQ71" si="123">IF((AO70-AI70-AN70)&gt;=15000,15000,(AO70-AI70-AN70))</f>
        <v>15000</v>
      </c>
      <c r="AR70" s="72">
        <f t="shared" ref="AR70:AR71" si="124">IF(AG70&gt;21000,0,IF(((AO70)*90/100)&gt;21000,21000,((AO70)*90/100)))</f>
        <v>0</v>
      </c>
      <c r="AS70" s="72">
        <v>0</v>
      </c>
      <c r="AT70" s="83">
        <f t="shared" ref="AT70:AT71" si="125">AQ70*12%</f>
        <v>1800</v>
      </c>
      <c r="AU70" s="177">
        <f>VLOOKUP(D70,'[1]work-sAl'!$B$2:$Z$70,25,0)</f>
        <v>1800</v>
      </c>
      <c r="AV70" s="83">
        <f t="shared" ref="AV70:AV71" si="126">AR70*0.75%</f>
        <v>0</v>
      </c>
      <c r="AW70" s="177">
        <f>VLOOKUP(D70,'[1]work-sAl'!$B$2:$AA$70,26,0)</f>
        <v>0</v>
      </c>
      <c r="AX70" s="81">
        <v>0</v>
      </c>
      <c r="AY70" s="81">
        <v>2000</v>
      </c>
      <c r="AZ70" s="81">
        <v>0</v>
      </c>
      <c r="BA70" s="81">
        <v>0</v>
      </c>
      <c r="BB70" s="81">
        <f t="shared" ref="BB70:BB71" si="127">SUM(AT70:BA70)</f>
        <v>5600</v>
      </c>
      <c r="BC70" s="81">
        <f t="shared" ref="BC70:BC71" si="128">+AO70-BB70+AS70</f>
        <v>25129.375</v>
      </c>
      <c r="BD70" s="92"/>
      <c r="BE70" s="81">
        <v>2000</v>
      </c>
      <c r="BF70" s="85">
        <v>0</v>
      </c>
      <c r="BG70" s="80">
        <f t="shared" ref="BG70:BG71" si="129">BE70+BF70</f>
        <v>2000</v>
      </c>
      <c r="BH70" s="86">
        <f t="shared" ref="BH70:BH71" si="130">BG70-AY70</f>
        <v>0</v>
      </c>
      <c r="BI70" s="65"/>
      <c r="BJ70" s="65"/>
    </row>
    <row r="71" spans="2:68" s="93" customFormat="1" ht="36.200000000000003" customHeight="1" x14ac:dyDescent="0.3">
      <c r="B71" s="87">
        <v>67</v>
      </c>
      <c r="C71" s="88"/>
      <c r="D71" s="73">
        <v>10613</v>
      </c>
      <c r="E71" s="89"/>
      <c r="F71" s="72">
        <v>101223622871</v>
      </c>
      <c r="G71" s="72">
        <v>5610294605</v>
      </c>
      <c r="H71" s="75" t="s">
        <v>200</v>
      </c>
      <c r="I71" s="76"/>
      <c r="J71" s="76" t="s">
        <v>238</v>
      </c>
      <c r="K71" s="75" t="s">
        <v>92</v>
      </c>
      <c r="L71" s="97">
        <v>45334</v>
      </c>
      <c r="M71" s="89"/>
      <c r="N71" s="74">
        <v>46021</v>
      </c>
      <c r="O71" s="74" t="str">
        <f t="shared" si="83"/>
        <v>1 years,10 months</v>
      </c>
      <c r="P71" s="79">
        <v>5</v>
      </c>
      <c r="Q71" s="79">
        <v>0</v>
      </c>
      <c r="R71" s="79">
        <f>VLOOKUP(D71,'[1]work-sAl'!$B$2:$P$116,15,0)</f>
        <v>0</v>
      </c>
      <c r="S71" s="79">
        <v>0</v>
      </c>
      <c r="T71" s="79">
        <v>0</v>
      </c>
      <c r="U71" s="79">
        <f t="shared" si="104"/>
        <v>5</v>
      </c>
      <c r="V71" s="79">
        <v>13.5</v>
      </c>
      <c r="W71" s="90">
        <f t="shared" si="105"/>
        <v>13.5</v>
      </c>
      <c r="X71" s="88">
        <f t="shared" si="106"/>
        <v>0</v>
      </c>
      <c r="Y71" s="90">
        <f t="shared" si="107"/>
        <v>6.75</v>
      </c>
      <c r="Z71" s="79">
        <v>510</v>
      </c>
      <c r="AA71" s="81">
        <f t="shared" si="108"/>
        <v>6630</v>
      </c>
      <c r="AB71" s="81">
        <f t="shared" si="109"/>
        <v>2652</v>
      </c>
      <c r="AC71" s="81">
        <f t="shared" si="110"/>
        <v>1326</v>
      </c>
      <c r="AD71" s="81">
        <f t="shared" si="111"/>
        <v>1326</v>
      </c>
      <c r="AE71" s="81">
        <f t="shared" si="112"/>
        <v>1326</v>
      </c>
      <c r="AF71" s="82">
        <f t="shared" si="113"/>
        <v>63.75</v>
      </c>
      <c r="AG71" s="81">
        <f t="shared" si="114"/>
        <v>13260</v>
      </c>
      <c r="AH71" s="72">
        <f t="shared" si="115"/>
        <v>1275</v>
      </c>
      <c r="AI71" s="72">
        <f t="shared" si="116"/>
        <v>510</v>
      </c>
      <c r="AJ71" s="72">
        <f t="shared" si="117"/>
        <v>255</v>
      </c>
      <c r="AK71" s="72">
        <f t="shared" si="118"/>
        <v>255</v>
      </c>
      <c r="AL71" s="72">
        <f t="shared" si="119"/>
        <v>255</v>
      </c>
      <c r="AM71" s="81">
        <f t="shared" si="92"/>
        <v>0</v>
      </c>
      <c r="AN71" s="81">
        <f t="shared" si="120"/>
        <v>860.625</v>
      </c>
      <c r="AO71" s="81">
        <f t="shared" si="121"/>
        <v>3410.625</v>
      </c>
      <c r="AP71" s="81">
        <f t="shared" si="122"/>
        <v>2550</v>
      </c>
      <c r="AQ71" s="83">
        <f t="shared" si="123"/>
        <v>2040</v>
      </c>
      <c r="AR71" s="72">
        <f t="shared" si="124"/>
        <v>3069.5625</v>
      </c>
      <c r="AS71" s="72">
        <v>0</v>
      </c>
      <c r="AT71" s="83">
        <f t="shared" si="125"/>
        <v>244.79999999999998</v>
      </c>
      <c r="AU71" s="177">
        <f>VLOOKUP(D71,'[1]work-sAl'!$B$2:$Z$70,25,0)</f>
        <v>348</v>
      </c>
      <c r="AV71" s="83">
        <f t="shared" si="126"/>
        <v>23.021718749999998</v>
      </c>
      <c r="AW71" s="177">
        <f>VLOOKUP(D71,'[1]work-sAl'!$B$2:$AA$70,26,0)</f>
        <v>24</v>
      </c>
      <c r="AX71" s="81">
        <v>0</v>
      </c>
      <c r="AY71" s="81">
        <v>2000</v>
      </c>
      <c r="AZ71" s="81">
        <v>0</v>
      </c>
      <c r="BA71" s="81">
        <v>0</v>
      </c>
      <c r="BB71" s="81">
        <f t="shared" si="127"/>
        <v>2639.8217187499999</v>
      </c>
      <c r="BC71" s="81">
        <f t="shared" si="128"/>
        <v>770.80328125000005</v>
      </c>
      <c r="BD71" s="92"/>
      <c r="BE71" s="81">
        <v>0</v>
      </c>
      <c r="BF71" s="85">
        <v>14500</v>
      </c>
      <c r="BG71" s="80">
        <f t="shared" si="129"/>
        <v>14500</v>
      </c>
      <c r="BH71" s="86">
        <f t="shared" si="130"/>
        <v>12500</v>
      </c>
      <c r="BI71" s="65"/>
      <c r="BJ71" s="65"/>
    </row>
    <row r="72" spans="2:68" s="93" customFormat="1" ht="36.200000000000003" customHeight="1" x14ac:dyDescent="0.3">
      <c r="B72" s="71">
        <v>68</v>
      </c>
      <c r="C72" s="88"/>
      <c r="D72" s="73">
        <v>10612</v>
      </c>
      <c r="E72" s="89"/>
      <c r="F72" s="133" t="s">
        <v>277</v>
      </c>
      <c r="G72" s="72" t="s">
        <v>278</v>
      </c>
      <c r="H72" s="75" t="s">
        <v>225</v>
      </c>
      <c r="I72" s="76"/>
      <c r="J72" s="76"/>
      <c r="K72" s="132"/>
      <c r="L72" s="97"/>
      <c r="M72" s="89"/>
      <c r="N72" s="74"/>
      <c r="O72" s="74"/>
      <c r="P72" s="79">
        <v>21</v>
      </c>
      <c r="Q72" s="79">
        <v>0</v>
      </c>
      <c r="R72" s="79">
        <f>VLOOKUP(D72,'[1]work-sAl'!$B$2:$P$116,15,0)</f>
        <v>0</v>
      </c>
      <c r="S72" s="79">
        <v>0</v>
      </c>
      <c r="T72" s="79">
        <v>0</v>
      </c>
      <c r="U72" s="79">
        <f t="shared" si="104"/>
        <v>21</v>
      </c>
      <c r="V72" s="79">
        <v>66.5</v>
      </c>
      <c r="W72" s="90">
        <f t="shared" ref="W72" si="131">IF(V72&lt;=50,V72,IF(V72&gt;=50,50,))</f>
        <v>50</v>
      </c>
      <c r="X72" s="88">
        <f t="shared" ref="X72" si="132">SUM(V72-W72)</f>
        <v>16.5</v>
      </c>
      <c r="Y72" s="90">
        <f t="shared" ref="Y72" si="133">W72/2</f>
        <v>25</v>
      </c>
      <c r="Z72" s="79">
        <v>730</v>
      </c>
      <c r="AA72" s="81">
        <f t="shared" ref="AA72" si="134">AG72*50%</f>
        <v>9490</v>
      </c>
      <c r="AB72" s="81">
        <f t="shared" ref="AB72" si="135">AG72*20%</f>
        <v>3796</v>
      </c>
      <c r="AC72" s="81">
        <f t="shared" ref="AC72" si="136">AG72*10%</f>
        <v>1898</v>
      </c>
      <c r="AD72" s="81">
        <f t="shared" ref="AD72" si="137">AG72*10%</f>
        <v>1898</v>
      </c>
      <c r="AE72" s="81">
        <f t="shared" ref="AE72" si="138">AG72*10%</f>
        <v>1898</v>
      </c>
      <c r="AF72" s="82">
        <f t="shared" ref="AF72" si="139">Z72/8</f>
        <v>91.25</v>
      </c>
      <c r="AG72" s="81">
        <f t="shared" si="114"/>
        <v>18980</v>
      </c>
      <c r="AH72" s="72">
        <f t="shared" si="115"/>
        <v>7665</v>
      </c>
      <c r="AI72" s="72">
        <f t="shared" si="116"/>
        <v>3066</v>
      </c>
      <c r="AJ72" s="72">
        <f t="shared" si="117"/>
        <v>1533</v>
      </c>
      <c r="AK72" s="72">
        <f t="shared" si="118"/>
        <v>1533</v>
      </c>
      <c r="AL72" s="72">
        <f t="shared" si="119"/>
        <v>1533</v>
      </c>
      <c r="AM72" s="81">
        <f t="shared" ref="AM72" si="140">SUM(X72*AF72)</f>
        <v>1505.625</v>
      </c>
      <c r="AN72" s="81">
        <f t="shared" ref="AN72" si="141">SUM(W72*AF72)</f>
        <v>4562.5</v>
      </c>
      <c r="AO72" s="81">
        <f t="shared" ref="AO72" si="142">SUM(AH72:AN72)</f>
        <v>21398.125</v>
      </c>
      <c r="AP72" s="81">
        <f t="shared" ref="AP72" si="143">+AO72-AN72</f>
        <v>16835.625</v>
      </c>
      <c r="AQ72" s="83">
        <f t="shared" ref="AQ72" si="144">IF((AO72-AI72-AN72)&gt;=15000,15000,(AO72-AI72-AN72))</f>
        <v>13769.625</v>
      </c>
      <c r="AR72" s="72">
        <f t="shared" ref="AR72" si="145">IF(AG72&gt;21000,0,IF(((AO72)*90/100)&gt;21000,21000,((AO72)*90/100)))</f>
        <v>19258.3125</v>
      </c>
      <c r="AS72" s="72">
        <v>0</v>
      </c>
      <c r="AT72" s="83">
        <f t="shared" ref="AT72" si="146">AQ72*12%</f>
        <v>1652.355</v>
      </c>
      <c r="AU72" s="177">
        <f>VLOOKUP(D72,'[1]work-sAl'!$B$2:$Z$70,25,0)</f>
        <v>1740</v>
      </c>
      <c r="AV72" s="83">
        <f t="shared" ref="AV72" si="147">AR72*0.75%</f>
        <v>144.43734375</v>
      </c>
      <c r="AW72" s="177">
        <f>VLOOKUP(D72,'[1]work-sAl'!$B$2:$AA$70,26,0)</f>
        <v>153</v>
      </c>
      <c r="AX72" s="81">
        <v>0</v>
      </c>
      <c r="AY72" s="81">
        <v>0</v>
      </c>
      <c r="AZ72" s="81">
        <v>0</v>
      </c>
      <c r="BA72" s="81">
        <v>0</v>
      </c>
      <c r="BB72" s="81">
        <f t="shared" ref="BB72" si="148">SUM(AT72:BA72)</f>
        <v>3689.7923437499999</v>
      </c>
      <c r="BC72" s="81">
        <f t="shared" ref="BC72" si="149">+AO72-BB72+AS72</f>
        <v>17708.332656250001</v>
      </c>
      <c r="BD72" s="92"/>
      <c r="BE72" s="98">
        <v>0</v>
      </c>
      <c r="BF72" s="85">
        <v>62000</v>
      </c>
      <c r="BG72" s="80">
        <f t="shared" ref="BG72" si="150">BE72+BF72</f>
        <v>62000</v>
      </c>
      <c r="BH72" s="86">
        <f t="shared" ref="BH72" si="151">BG72-AY72</f>
        <v>62000</v>
      </c>
      <c r="BI72" s="65"/>
      <c r="BJ72" s="65"/>
    </row>
    <row r="73" spans="2:68" s="93" customFormat="1" ht="36.200000000000003" customHeight="1" thickBot="1" x14ac:dyDescent="0.35">
      <c r="B73" s="71">
        <v>69</v>
      </c>
      <c r="C73" s="88"/>
      <c r="D73" s="73">
        <v>10619</v>
      </c>
      <c r="E73" s="89"/>
      <c r="F73" s="133" t="s">
        <v>283</v>
      </c>
      <c r="G73" s="137" t="s">
        <v>282</v>
      </c>
      <c r="H73" s="75" t="s">
        <v>281</v>
      </c>
      <c r="I73" s="76"/>
      <c r="J73" s="76"/>
      <c r="K73" s="132"/>
      <c r="L73" s="97"/>
      <c r="M73" s="89"/>
      <c r="N73" s="74"/>
      <c r="O73" s="74"/>
      <c r="P73" s="79">
        <v>24</v>
      </c>
      <c r="Q73" s="79">
        <v>0</v>
      </c>
      <c r="R73" s="79">
        <f>VLOOKUP(D73,'[1]work-sAl'!$B$2:$P$116,15,0)</f>
        <v>2</v>
      </c>
      <c r="S73" s="79">
        <v>0</v>
      </c>
      <c r="T73" s="79">
        <v>0</v>
      </c>
      <c r="U73" s="79">
        <f t="shared" si="104"/>
        <v>26</v>
      </c>
      <c r="V73" s="79">
        <v>110.5</v>
      </c>
      <c r="W73" s="90">
        <f t="shared" ref="W73" si="152">IF(V73&lt;=50,V73,IF(V73&gt;=50,50,))</f>
        <v>50</v>
      </c>
      <c r="X73" s="88">
        <f t="shared" ref="X73" si="153">SUM(V73-W73)</f>
        <v>60.5</v>
      </c>
      <c r="Y73" s="90">
        <f t="shared" ref="Y73" si="154">W73/2</f>
        <v>25</v>
      </c>
      <c r="Z73" s="79">
        <v>730</v>
      </c>
      <c r="AA73" s="81">
        <f t="shared" ref="AA73" si="155">AG73*50%</f>
        <v>9490</v>
      </c>
      <c r="AB73" s="81">
        <f t="shared" ref="AB73" si="156">AG73*20%</f>
        <v>3796</v>
      </c>
      <c r="AC73" s="81">
        <f t="shared" ref="AC73" si="157">AG73*10%</f>
        <v>1898</v>
      </c>
      <c r="AD73" s="81">
        <f t="shared" ref="AD73" si="158">AG73*10%</f>
        <v>1898</v>
      </c>
      <c r="AE73" s="81">
        <f t="shared" ref="AE73" si="159">AG73*10%</f>
        <v>1898</v>
      </c>
      <c r="AF73" s="82">
        <f t="shared" ref="AF73" si="160">Z73/8</f>
        <v>91.25</v>
      </c>
      <c r="AG73" s="81">
        <f t="shared" si="114"/>
        <v>18980</v>
      </c>
      <c r="AH73" s="72">
        <f t="shared" si="115"/>
        <v>9490</v>
      </c>
      <c r="AI73" s="72">
        <f t="shared" si="116"/>
        <v>3796</v>
      </c>
      <c r="AJ73" s="72">
        <f t="shared" si="117"/>
        <v>1898</v>
      </c>
      <c r="AK73" s="72">
        <f t="shared" si="118"/>
        <v>1898</v>
      </c>
      <c r="AL73" s="72">
        <f t="shared" si="119"/>
        <v>1898</v>
      </c>
      <c r="AM73" s="81">
        <f t="shared" ref="AM73" si="161">SUM(X73*AF73)</f>
        <v>5520.625</v>
      </c>
      <c r="AN73" s="81">
        <f t="shared" ref="AN73" si="162">SUM(W73*AF73)</f>
        <v>4562.5</v>
      </c>
      <c r="AO73" s="81">
        <f t="shared" ref="AO73" si="163">SUM(AH73:AN73)</f>
        <v>29063.125</v>
      </c>
      <c r="AP73" s="81">
        <f t="shared" ref="AP73" si="164">+AO73-AN73</f>
        <v>24500.625</v>
      </c>
      <c r="AQ73" s="83">
        <f t="shared" ref="AQ73" si="165">IF((AO73-AI73-AN73)&gt;=15000,15000,(AO73-AI73-AN73))</f>
        <v>15000</v>
      </c>
      <c r="AR73" s="72">
        <f t="shared" ref="AR73" si="166">IF(AG73&gt;21000,0,IF(((AO73)*90/100)&gt;21000,21000,((AO73)*90/100)))</f>
        <v>21000</v>
      </c>
      <c r="AS73" s="72">
        <v>0</v>
      </c>
      <c r="AT73" s="83">
        <f t="shared" ref="AT73" si="167">AQ73*12%</f>
        <v>1800</v>
      </c>
      <c r="AU73" s="177">
        <f>VLOOKUP(D73,'[1]work-sAl'!$B$2:$Z$70,25,0)</f>
        <v>1800</v>
      </c>
      <c r="AV73" s="83">
        <f t="shared" ref="AV73" si="168">AR73*0.75%</f>
        <v>157.5</v>
      </c>
      <c r="AW73" s="177">
        <f>VLOOKUP(D73,'[1]work-sAl'!$B$2:$AA$70,26,0)</f>
        <v>208</v>
      </c>
      <c r="AX73" s="81">
        <v>0</v>
      </c>
      <c r="AY73" s="81">
        <v>1500</v>
      </c>
      <c r="AZ73" s="81">
        <v>0</v>
      </c>
      <c r="BA73" s="81">
        <v>0</v>
      </c>
      <c r="BB73" s="81">
        <f t="shared" ref="BB73" si="169">SUM(AT73:BA73)</f>
        <v>5465.5</v>
      </c>
      <c r="BC73" s="81">
        <f t="shared" ref="BC73" si="170">+AO73-BB73+AS73</f>
        <v>23597.625</v>
      </c>
      <c r="BD73" s="92"/>
      <c r="BE73" s="98">
        <v>0</v>
      </c>
      <c r="BF73" s="85">
        <v>18000</v>
      </c>
      <c r="BG73" s="80">
        <f t="shared" ref="BG73" si="171">BE73+BF73</f>
        <v>18000</v>
      </c>
      <c r="BH73" s="86">
        <f t="shared" ref="BH73" si="172">BG73-AY73</f>
        <v>16500</v>
      </c>
      <c r="BI73" s="65"/>
      <c r="BJ73" s="65"/>
    </row>
    <row r="74" spans="2:68" ht="45" customHeight="1" thickBot="1" x14ac:dyDescent="0.35">
      <c r="B74" s="224" t="s">
        <v>24</v>
      </c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6"/>
      <c r="P74" s="99">
        <f t="shared" ref="P74:BC74" si="173">SUM(P5:P73)</f>
        <v>1591</v>
      </c>
      <c r="Q74" s="99">
        <f t="shared" si="173"/>
        <v>0</v>
      </c>
      <c r="R74" s="99">
        <f t="shared" si="173"/>
        <v>110</v>
      </c>
      <c r="S74" s="99">
        <f t="shared" si="173"/>
        <v>0</v>
      </c>
      <c r="T74" s="99">
        <f t="shared" si="173"/>
        <v>0</v>
      </c>
      <c r="U74" s="99">
        <f t="shared" si="173"/>
        <v>1701</v>
      </c>
      <c r="V74" s="99">
        <f t="shared" si="173"/>
        <v>4604</v>
      </c>
      <c r="W74" s="99">
        <f t="shared" si="173"/>
        <v>3134</v>
      </c>
      <c r="X74" s="99">
        <f t="shared" si="173"/>
        <v>1470</v>
      </c>
      <c r="Y74" s="99">
        <f t="shared" si="173"/>
        <v>1567</v>
      </c>
      <c r="Z74" s="99">
        <f t="shared" si="173"/>
        <v>54855</v>
      </c>
      <c r="AA74" s="99">
        <f t="shared" si="173"/>
        <v>713115</v>
      </c>
      <c r="AB74" s="99">
        <f t="shared" si="173"/>
        <v>285246</v>
      </c>
      <c r="AC74" s="99">
        <f t="shared" si="173"/>
        <v>142623</v>
      </c>
      <c r="AD74" s="99">
        <f t="shared" si="173"/>
        <v>142623</v>
      </c>
      <c r="AE74" s="99">
        <f t="shared" si="173"/>
        <v>142623</v>
      </c>
      <c r="AF74" s="99">
        <f t="shared" si="173"/>
        <v>6856.875</v>
      </c>
      <c r="AG74" s="99">
        <f t="shared" si="173"/>
        <v>1426230</v>
      </c>
      <c r="AH74" s="99">
        <f t="shared" si="173"/>
        <v>677084.5</v>
      </c>
      <c r="AI74" s="99">
        <f t="shared" si="173"/>
        <v>270833.79999999993</v>
      </c>
      <c r="AJ74" s="99">
        <f t="shared" si="173"/>
        <v>135416.89999999997</v>
      </c>
      <c r="AK74" s="99">
        <f t="shared" si="173"/>
        <v>135416.89999999997</v>
      </c>
      <c r="AL74" s="99">
        <f t="shared" si="173"/>
        <v>135416.89999999997</v>
      </c>
      <c r="AM74" s="99">
        <f t="shared" si="173"/>
        <v>141535.3125</v>
      </c>
      <c r="AN74" s="99">
        <f t="shared" si="173"/>
        <v>316476.9375</v>
      </c>
      <c r="AO74" s="99">
        <f t="shared" si="173"/>
        <v>1812181.25</v>
      </c>
      <c r="AP74" s="99">
        <f t="shared" si="173"/>
        <v>1495704.3125</v>
      </c>
      <c r="AQ74" s="99">
        <f t="shared" si="173"/>
        <v>948530.38749999995</v>
      </c>
      <c r="AR74" s="99">
        <f t="shared" si="173"/>
        <v>618045.46875</v>
      </c>
      <c r="AS74" s="99">
        <f t="shared" si="173"/>
        <v>0</v>
      </c>
      <c r="AT74" s="99">
        <f t="shared" si="173"/>
        <v>113823.64650000002</v>
      </c>
      <c r="AU74" s="178">
        <f t="shared" si="173"/>
        <v>116276</v>
      </c>
      <c r="AV74" s="99">
        <f t="shared" si="173"/>
        <v>4635.3410156250011</v>
      </c>
      <c r="AW74" s="178">
        <f t="shared" si="173"/>
        <v>5048</v>
      </c>
      <c r="AX74" s="99">
        <f t="shared" si="173"/>
        <v>3340</v>
      </c>
      <c r="AY74" s="99">
        <f t="shared" si="173"/>
        <v>87723</v>
      </c>
      <c r="AZ74" s="99">
        <f t="shared" si="173"/>
        <v>0</v>
      </c>
      <c r="BA74" s="99">
        <f t="shared" si="173"/>
        <v>0</v>
      </c>
      <c r="BB74" s="99">
        <f t="shared" si="173"/>
        <v>330845.98751562496</v>
      </c>
      <c r="BC74" s="99">
        <f t="shared" si="173"/>
        <v>1481335.2624843754</v>
      </c>
      <c r="BD74" s="99"/>
      <c r="BE74" s="99">
        <f>SUM(BE5:BE73)</f>
        <v>330000</v>
      </c>
      <c r="BF74" s="99">
        <f>SUM(BF5:BF73)</f>
        <v>7726127</v>
      </c>
      <c r="BG74" s="99">
        <f>SUM(BG5:BG73)</f>
        <v>8056127</v>
      </c>
      <c r="BH74" s="99">
        <f>SUM(BH5:BH73)</f>
        <v>7968404</v>
      </c>
      <c r="BI74" s="100"/>
      <c r="BJ74" s="100"/>
      <c r="BK74" s="101"/>
      <c r="BL74" s="101"/>
      <c r="BM74" s="101"/>
      <c r="BN74" s="101"/>
      <c r="BO74" s="101"/>
      <c r="BP74" s="101"/>
    </row>
    <row r="75" spans="2:68" ht="99" customHeight="1" thickBot="1" x14ac:dyDescent="0.35">
      <c r="B75" s="224" t="s">
        <v>60</v>
      </c>
      <c r="C75" s="225"/>
      <c r="D75" s="225"/>
      <c r="E75" s="225"/>
      <c r="F75" s="225"/>
      <c r="G75" s="225"/>
      <c r="H75" s="226"/>
      <c r="I75" s="50"/>
      <c r="J75" s="50"/>
      <c r="K75" s="224" t="s">
        <v>61</v>
      </c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 t="s">
        <v>62</v>
      </c>
      <c r="W75" s="226"/>
      <c r="X75" s="227" t="s">
        <v>62</v>
      </c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 t="s">
        <v>63</v>
      </c>
      <c r="AK75" s="228"/>
      <c r="AL75" s="228"/>
      <c r="AM75" s="228"/>
      <c r="AN75" s="229"/>
      <c r="AO75" s="227" t="s">
        <v>63</v>
      </c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A75" s="228"/>
      <c r="BB75" s="228"/>
      <c r="BC75" s="228"/>
      <c r="BD75" s="228"/>
      <c r="BE75" s="228"/>
      <c r="BF75" s="228"/>
      <c r="BG75" s="228"/>
      <c r="BH75" s="229"/>
    </row>
    <row r="76" spans="2:68" ht="18.75" customHeight="1" x14ac:dyDescent="0.3">
      <c r="V76" s="103"/>
      <c r="W76" s="103"/>
      <c r="Y76" s="103"/>
      <c r="AN76" s="101"/>
      <c r="AO76" s="105"/>
      <c r="AP76" s="105"/>
      <c r="AQ76" s="101"/>
      <c r="AR76" s="101"/>
      <c r="AS76" s="101"/>
      <c r="AT76" s="106"/>
      <c r="AU76" s="106"/>
      <c r="AV76" s="106"/>
      <c r="AW76" s="106"/>
    </row>
    <row r="77" spans="2:68" x14ac:dyDescent="0.3">
      <c r="B77" s="104"/>
      <c r="P77" s="107"/>
      <c r="Q77" s="107"/>
      <c r="R77" s="107"/>
      <c r="S77" s="107"/>
      <c r="T77" s="107"/>
      <c r="U77" s="107"/>
      <c r="V77" s="107"/>
    </row>
    <row r="78" spans="2:68" x14ac:dyDescent="0.3">
      <c r="AV78" s="107"/>
    </row>
    <row r="79" spans="2:68" x14ac:dyDescent="0.3">
      <c r="P79" s="107"/>
      <c r="U79" s="107"/>
      <c r="V79" s="107"/>
      <c r="W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T79" s="107"/>
      <c r="AU79" s="107"/>
      <c r="AV79" s="107"/>
      <c r="AW79" s="107"/>
      <c r="AY79" s="107"/>
      <c r="BA79" s="107"/>
      <c r="BB79" s="107"/>
      <c r="BC79" s="107"/>
      <c r="BF79" s="107"/>
      <c r="BG79" s="107"/>
      <c r="BH79" s="107"/>
    </row>
  </sheetData>
  <sortState ref="B5:BS71">
    <sortCondition ref="D5:D71"/>
  </sortState>
  <mergeCells count="23">
    <mergeCell ref="O3:O4"/>
    <mergeCell ref="BH3:BH4"/>
    <mergeCell ref="BE3:BE4"/>
    <mergeCell ref="BF3:BF4"/>
    <mergeCell ref="BD3:BD4"/>
    <mergeCell ref="BC3:BC4"/>
    <mergeCell ref="BG3:BG4"/>
    <mergeCell ref="I3:K3"/>
    <mergeCell ref="B1:BH1"/>
    <mergeCell ref="B2:BH2"/>
    <mergeCell ref="B75:H75"/>
    <mergeCell ref="B3:H3"/>
    <mergeCell ref="AT3:BB3"/>
    <mergeCell ref="P3:Z3"/>
    <mergeCell ref="AH3:AS3"/>
    <mergeCell ref="AA3:AG3"/>
    <mergeCell ref="B74:O74"/>
    <mergeCell ref="K75:W75"/>
    <mergeCell ref="X75:AN75"/>
    <mergeCell ref="AO75:BH75"/>
    <mergeCell ref="L3:L4"/>
    <mergeCell ref="M3:M4"/>
    <mergeCell ref="N3:N4"/>
  </mergeCells>
  <conditionalFormatting sqref="D5:D73">
    <cfRule type="duplicateValues" dxfId="12" priority="20"/>
    <cfRule type="cellIs" dxfId="11" priority="21" operator="equal">
      <formula>"sunday"</formula>
    </cfRule>
  </conditionalFormatting>
  <conditionalFormatting sqref="H5:H73 K5:K73">
    <cfRule type="cellIs" dxfId="10" priority="3" operator="equal">
      <formula>"sunday"</formula>
    </cfRule>
  </conditionalFormatting>
  <conditionalFormatting sqref="L58">
    <cfRule type="cellIs" dxfId="9" priority="10" operator="equal">
      <formula>"sunday"</formula>
    </cfRule>
  </conditionalFormatting>
  <conditionalFormatting sqref="AQ5:AW73">
    <cfRule type="containsBlanks" dxfId="8" priority="15" stopIfTrue="1">
      <formula>LEN(TRIM(AQ5))=0</formula>
    </cfRule>
  </conditionalFormatting>
  <printOptions horizontalCentered="1" verticalCentered="1"/>
  <pageMargins left="0.25" right="0.25" top="0.25" bottom="0.25" header="0.25" footer="0.25"/>
  <pageSetup paperSize="8" scale="43" fitToHeight="0" orientation="landscape" r:id="rId1"/>
  <rowBreaks count="1" manualBreakCount="1">
    <brk id="54" min="1" max="5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X18"/>
  <sheetViews>
    <sheetView zoomScale="68" zoomScaleNormal="68" zoomScaleSheetLayoutView="70" workbookViewId="0">
      <pane xSplit="9" ySplit="4" topLeftCell="M11" activePane="bottomRight" state="frozen"/>
      <selection pane="topRight" activeCell="I1" sqref="I1"/>
      <selection pane="bottomLeft" activeCell="A5" sqref="A5"/>
      <selection pane="bottomRight" activeCell="S11" sqref="S11"/>
    </sheetView>
  </sheetViews>
  <sheetFormatPr defaultColWidth="9.140625" defaultRowHeight="15" x14ac:dyDescent="0.25"/>
  <cols>
    <col min="1" max="1" width="8.28515625" style="14" customWidth="1"/>
    <col min="2" max="2" width="7.42578125" style="14" bestFit="1" customWidth="1"/>
    <col min="3" max="3" width="14.28515625" style="14" bestFit="1" customWidth="1"/>
    <col min="4" max="4" width="17.140625" style="14" bestFit="1" customWidth="1"/>
    <col min="5" max="5" width="17.5703125" style="14" customWidth="1"/>
    <col min="6" max="6" width="35.28515625" style="14" bestFit="1" customWidth="1"/>
    <col min="7" max="7" width="13.85546875" style="14" hidden="1" customWidth="1"/>
    <col min="8" max="8" width="29.140625" style="14" hidden="1" customWidth="1"/>
    <col min="9" max="9" width="20.140625" style="14" hidden="1" customWidth="1"/>
    <col min="10" max="10" width="16.5703125" style="14" hidden="1" customWidth="1"/>
    <col min="11" max="11" width="12.28515625" style="14" hidden="1" customWidth="1"/>
    <col min="12" max="12" width="18.85546875" style="14" hidden="1" customWidth="1"/>
    <col min="13" max="13" width="17.42578125" style="14" bestFit="1" customWidth="1"/>
    <col min="14" max="14" width="8.5703125" style="14" bestFit="1" customWidth="1"/>
    <col min="15" max="15" width="8.140625" style="14" bestFit="1" customWidth="1"/>
    <col min="16" max="17" width="7.140625" style="14" bestFit="1" customWidth="1"/>
    <col min="18" max="18" width="13.85546875" style="14" bestFit="1" customWidth="1"/>
    <col min="19" max="19" width="14.85546875" style="14" bestFit="1" customWidth="1"/>
    <col min="20" max="20" width="10.7109375" style="14" bestFit="1" customWidth="1"/>
    <col min="21" max="22" width="10" style="14" bestFit="1" customWidth="1"/>
    <col min="23" max="23" width="19.42578125" style="14" bestFit="1" customWidth="1"/>
    <col min="24" max="24" width="14.42578125" style="14" bestFit="1" customWidth="1"/>
    <col min="25" max="25" width="13" style="14" bestFit="1" customWidth="1"/>
    <col min="26" max="26" width="17.42578125" style="14" bestFit="1" customWidth="1"/>
    <col min="27" max="27" width="18.5703125" style="14" bestFit="1" customWidth="1"/>
    <col min="28" max="28" width="15" style="14" bestFit="1" customWidth="1"/>
    <col min="29" max="29" width="18" style="14" bestFit="1" customWidth="1"/>
    <col min="30" max="30" width="17.140625" style="14" bestFit="1" customWidth="1"/>
    <col min="31" max="31" width="14.42578125" style="14" bestFit="1" customWidth="1"/>
    <col min="32" max="32" width="13" style="14" bestFit="1" customWidth="1"/>
    <col min="33" max="33" width="14.42578125" style="14" bestFit="1" customWidth="1"/>
    <col min="34" max="34" width="18.5703125" style="14" bestFit="1" customWidth="1"/>
    <col min="35" max="35" width="15" style="14" bestFit="1" customWidth="1"/>
    <col min="36" max="36" width="13" style="14" bestFit="1" customWidth="1"/>
    <col min="37" max="37" width="13.5703125" style="14" bestFit="1" customWidth="1"/>
    <col min="38" max="38" width="17.140625" style="14" bestFit="1" customWidth="1"/>
    <col min="39" max="39" width="11" style="14" bestFit="1" customWidth="1"/>
    <col min="40" max="40" width="13" style="14" bestFit="1" customWidth="1"/>
    <col min="41" max="41" width="7.140625" style="14" bestFit="1" customWidth="1"/>
    <col min="42" max="42" width="19" style="14" bestFit="1" customWidth="1"/>
    <col min="43" max="43" width="17.42578125" style="14" bestFit="1" customWidth="1"/>
    <col min="44" max="45" width="14.42578125" style="14" bestFit="1" customWidth="1"/>
    <col min="46" max="46" width="13.140625" style="14" bestFit="1" customWidth="1"/>
    <col min="47" max="47" width="29.7109375" style="14" bestFit="1" customWidth="1"/>
    <col min="48" max="48" width="36.85546875" style="14" bestFit="1" customWidth="1"/>
    <col min="49" max="49" width="23" style="14" bestFit="1" customWidth="1"/>
    <col min="50" max="50" width="21.5703125" style="14" bestFit="1" customWidth="1"/>
    <col min="51" max="16384" width="9.140625" style="14"/>
  </cols>
  <sheetData>
    <row r="1" spans="2:50" ht="32.25" customHeight="1" thickBot="1" x14ac:dyDescent="0.3">
      <c r="B1" s="195" t="s">
        <v>228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7"/>
    </row>
    <row r="2" spans="2:50" ht="32.25" customHeight="1" thickBot="1" x14ac:dyDescent="0.3">
      <c r="B2" s="195" t="s">
        <v>308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7"/>
    </row>
    <row r="3" spans="2:50" ht="25.9" customHeight="1" thickBot="1" x14ac:dyDescent="0.3">
      <c r="B3" s="195" t="s">
        <v>18</v>
      </c>
      <c r="C3" s="196"/>
      <c r="D3" s="196"/>
      <c r="E3" s="196"/>
      <c r="F3" s="197"/>
      <c r="G3" s="31"/>
      <c r="H3" s="31">
        <v>26</v>
      </c>
      <c r="I3" s="195" t="s">
        <v>64</v>
      </c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7"/>
      <c r="X3" s="195" t="s">
        <v>56</v>
      </c>
      <c r="Y3" s="196"/>
      <c r="Z3" s="196"/>
      <c r="AA3" s="196"/>
      <c r="AB3" s="196"/>
      <c r="AC3" s="196"/>
      <c r="AD3" s="197"/>
      <c r="AE3" s="238" t="s">
        <v>12</v>
      </c>
      <c r="AF3" s="238"/>
      <c r="AG3" s="238"/>
      <c r="AH3" s="238"/>
      <c r="AI3" s="238"/>
      <c r="AJ3" s="238"/>
      <c r="AK3" s="238"/>
      <c r="AL3" s="238"/>
      <c r="AM3" s="238"/>
      <c r="AN3" s="195" t="s">
        <v>13</v>
      </c>
      <c r="AO3" s="196"/>
      <c r="AP3" s="196"/>
      <c r="AQ3" s="196"/>
      <c r="AR3" s="197"/>
      <c r="AS3" s="236" t="s">
        <v>22</v>
      </c>
      <c r="AT3" s="234" t="s">
        <v>17</v>
      </c>
      <c r="AU3" s="236" t="s">
        <v>65</v>
      </c>
      <c r="AV3" s="236" t="s">
        <v>74</v>
      </c>
      <c r="AW3" s="234" t="s">
        <v>20</v>
      </c>
      <c r="AX3" s="236" t="s">
        <v>21</v>
      </c>
    </row>
    <row r="4" spans="2:50" ht="49.15" customHeight="1" thickBot="1" x14ac:dyDescent="0.3">
      <c r="B4" s="36" t="s">
        <v>35</v>
      </c>
      <c r="C4" s="36" t="s">
        <v>37</v>
      </c>
      <c r="D4" s="36" t="s">
        <v>23</v>
      </c>
      <c r="E4" s="36" t="s">
        <v>25</v>
      </c>
      <c r="F4" s="36" t="s">
        <v>5</v>
      </c>
      <c r="G4" s="36" t="s">
        <v>76</v>
      </c>
      <c r="H4" s="36" t="s">
        <v>6</v>
      </c>
      <c r="I4" s="36" t="s">
        <v>26</v>
      </c>
      <c r="J4" s="36" t="s">
        <v>27</v>
      </c>
      <c r="K4" s="36" t="s">
        <v>29</v>
      </c>
      <c r="L4" s="36" t="s">
        <v>28</v>
      </c>
      <c r="M4" s="36" t="s">
        <v>0</v>
      </c>
      <c r="N4" s="36" t="s">
        <v>58</v>
      </c>
      <c r="O4" s="36" t="s">
        <v>1</v>
      </c>
      <c r="P4" s="36" t="s">
        <v>2</v>
      </c>
      <c r="Q4" s="36" t="s">
        <v>3</v>
      </c>
      <c r="R4" s="36" t="s">
        <v>4</v>
      </c>
      <c r="S4" s="36" t="s">
        <v>54</v>
      </c>
      <c r="T4" s="36" t="s">
        <v>68</v>
      </c>
      <c r="U4" s="36" t="s">
        <v>67</v>
      </c>
      <c r="V4" s="36" t="s">
        <v>53</v>
      </c>
      <c r="W4" s="36" t="s">
        <v>19</v>
      </c>
      <c r="X4" s="36" t="s">
        <v>31</v>
      </c>
      <c r="Y4" s="36" t="s">
        <v>8</v>
      </c>
      <c r="Z4" s="36" t="s">
        <v>32</v>
      </c>
      <c r="AA4" s="36" t="s">
        <v>48</v>
      </c>
      <c r="AB4" s="36" t="s">
        <v>9</v>
      </c>
      <c r="AC4" s="36" t="s">
        <v>51</v>
      </c>
      <c r="AD4" s="36" t="s">
        <v>7</v>
      </c>
      <c r="AE4" s="36" t="s">
        <v>31</v>
      </c>
      <c r="AF4" s="36" t="s">
        <v>8</v>
      </c>
      <c r="AG4" s="36" t="s">
        <v>10</v>
      </c>
      <c r="AH4" s="36" t="s">
        <v>48</v>
      </c>
      <c r="AI4" s="36" t="s">
        <v>9</v>
      </c>
      <c r="AJ4" s="36" t="s">
        <v>66</v>
      </c>
      <c r="AK4" s="36" t="s">
        <v>52</v>
      </c>
      <c r="AL4" s="36" t="s">
        <v>7</v>
      </c>
      <c r="AM4" s="36" t="s">
        <v>69</v>
      </c>
      <c r="AN4" s="36" t="s">
        <v>25</v>
      </c>
      <c r="AO4" s="36" t="s">
        <v>46</v>
      </c>
      <c r="AP4" s="36" t="s">
        <v>45</v>
      </c>
      <c r="AQ4" s="36" t="s">
        <v>73</v>
      </c>
      <c r="AR4" s="36" t="s">
        <v>34</v>
      </c>
      <c r="AS4" s="237"/>
      <c r="AT4" s="235"/>
      <c r="AU4" s="237"/>
      <c r="AV4" s="237"/>
      <c r="AW4" s="235"/>
      <c r="AX4" s="237"/>
    </row>
    <row r="5" spans="2:50" s="32" customFormat="1" ht="44.25" customHeight="1" x14ac:dyDescent="0.25">
      <c r="B5" s="37">
        <v>1</v>
      </c>
      <c r="C5" s="121">
        <v>1064</v>
      </c>
      <c r="D5" s="121">
        <v>1064</v>
      </c>
      <c r="E5" s="113" t="s">
        <v>25</v>
      </c>
      <c r="F5" s="111" t="s">
        <v>202</v>
      </c>
      <c r="G5" s="39" t="s">
        <v>77</v>
      </c>
      <c r="H5" s="114" t="s">
        <v>92</v>
      </c>
      <c r="I5" s="115">
        <v>45498</v>
      </c>
      <c r="J5" s="40"/>
      <c r="K5" s="40">
        <v>46111</v>
      </c>
      <c r="L5" s="40" t="str">
        <f t="shared" ref="L5:L6" si="0">DATEDIF(I5,K5,"y")&amp;" years,"&amp;DATEDIF(I5,K5,"ym")&amp;" months"</f>
        <v>1 years,8 months</v>
      </c>
      <c r="M5" s="41">
        <v>24.5</v>
      </c>
      <c r="N5" s="41">
        <v>0</v>
      </c>
      <c r="O5" s="41">
        <v>1.5</v>
      </c>
      <c r="P5" s="41">
        <v>0</v>
      </c>
      <c r="Q5" s="41">
        <v>0</v>
      </c>
      <c r="R5" s="42">
        <f t="shared" ref="R5:R6" si="1">SUM(M5:Q5)</f>
        <v>26</v>
      </c>
      <c r="S5" s="41">
        <v>0</v>
      </c>
      <c r="T5" s="42">
        <f t="shared" ref="T5:T6" si="2">IF(S5&lt;=50,S5,IF(S5&gt;=50,50,))</f>
        <v>0</v>
      </c>
      <c r="U5" s="42">
        <f t="shared" ref="U5:U6" si="3">SUM(S5-T5)</f>
        <v>0</v>
      </c>
      <c r="V5" s="42">
        <f t="shared" ref="V5:V6" si="4">T5/2</f>
        <v>0</v>
      </c>
      <c r="W5" s="41">
        <v>0</v>
      </c>
      <c r="X5" s="43">
        <f t="shared" ref="X5:X6" si="5">AD5*50%</f>
        <v>8500</v>
      </c>
      <c r="Y5" s="43">
        <f t="shared" ref="Y5:Y6" si="6">AD5*20%</f>
        <v>3400</v>
      </c>
      <c r="Z5" s="43">
        <f t="shared" ref="Z5:Z6" si="7">AD5*10%</f>
        <v>1700</v>
      </c>
      <c r="AA5" s="43">
        <f t="shared" ref="AA5:AA6" si="8">AD5*10%</f>
        <v>1700</v>
      </c>
      <c r="AB5" s="43">
        <f t="shared" ref="AB5:AB6" si="9">AD5*10%</f>
        <v>1700</v>
      </c>
      <c r="AC5" s="44">
        <f t="shared" ref="AC5:AC6" si="10">W5/8</f>
        <v>0</v>
      </c>
      <c r="AD5" s="112">
        <v>17000</v>
      </c>
      <c r="AE5" s="38">
        <f>+X5/26*R5</f>
        <v>8500</v>
      </c>
      <c r="AF5" s="38">
        <f>+Y5/26*R5</f>
        <v>3400</v>
      </c>
      <c r="AG5" s="38">
        <f>+Z5/26*R5</f>
        <v>1700</v>
      </c>
      <c r="AH5" s="38">
        <f>+AA5/26*R5</f>
        <v>1700</v>
      </c>
      <c r="AI5" s="38">
        <f>+AB5/26*R5</f>
        <v>1700</v>
      </c>
      <c r="AJ5" s="43">
        <f t="shared" ref="AJ5:AJ6" si="11">SUM(U5*AC5)</f>
        <v>0</v>
      </c>
      <c r="AK5" s="43">
        <f t="shared" ref="AK5:AK6" si="12">SUM(T5*AC5)</f>
        <v>0</v>
      </c>
      <c r="AL5" s="43">
        <f t="shared" ref="AL5:AL6" si="13">SUM(AE5:AK5)</f>
        <v>17000</v>
      </c>
      <c r="AM5" s="43">
        <v>0</v>
      </c>
      <c r="AN5" s="43">
        <v>1500</v>
      </c>
      <c r="AO5" s="43">
        <v>0</v>
      </c>
      <c r="AP5" s="43">
        <v>0</v>
      </c>
      <c r="AQ5" s="43">
        <v>0</v>
      </c>
      <c r="AR5" s="43">
        <f t="shared" ref="AR5:AR6" si="14">SUM(AN5:AQ5)</f>
        <v>1500</v>
      </c>
      <c r="AS5" s="43">
        <f t="shared" ref="AS5:AS6" si="15">+AL5-AR5</f>
        <v>15500</v>
      </c>
      <c r="AT5" s="45"/>
      <c r="AU5" s="43">
        <v>0</v>
      </c>
      <c r="AV5" s="43">
        <v>0</v>
      </c>
      <c r="AW5" s="43">
        <f t="shared" ref="AW5:AW6" si="16">AU5+AV5</f>
        <v>0</v>
      </c>
      <c r="AX5" s="46">
        <f t="shared" ref="AX5:AX6" si="17">AW5-AP5</f>
        <v>0</v>
      </c>
    </row>
    <row r="6" spans="2:50" s="32" customFormat="1" ht="44.25" customHeight="1" x14ac:dyDescent="0.25">
      <c r="B6" s="124">
        <v>2</v>
      </c>
      <c r="C6" s="122">
        <v>1068</v>
      </c>
      <c r="D6" s="122">
        <v>1068</v>
      </c>
      <c r="E6" s="34" t="s">
        <v>25</v>
      </c>
      <c r="F6" s="54" t="s">
        <v>203</v>
      </c>
      <c r="G6" s="6" t="s">
        <v>77</v>
      </c>
      <c r="H6" s="110" t="s">
        <v>204</v>
      </c>
      <c r="I6" s="116">
        <v>45646</v>
      </c>
      <c r="J6" s="5"/>
      <c r="K6" s="5">
        <v>46111</v>
      </c>
      <c r="L6" s="5" t="str">
        <f t="shared" si="0"/>
        <v>1 years,3 months</v>
      </c>
      <c r="M6" s="1">
        <v>20</v>
      </c>
      <c r="N6" s="1">
        <v>0</v>
      </c>
      <c r="O6" s="1">
        <v>2</v>
      </c>
      <c r="P6" s="1">
        <v>0</v>
      </c>
      <c r="Q6" s="1">
        <v>0</v>
      </c>
      <c r="R6" s="2">
        <f t="shared" si="1"/>
        <v>22</v>
      </c>
      <c r="S6" s="1">
        <v>0</v>
      </c>
      <c r="T6" s="2">
        <f t="shared" si="2"/>
        <v>0</v>
      </c>
      <c r="U6" s="2">
        <f t="shared" si="3"/>
        <v>0</v>
      </c>
      <c r="V6" s="2">
        <f t="shared" si="4"/>
        <v>0</v>
      </c>
      <c r="W6" s="1">
        <v>0</v>
      </c>
      <c r="X6" s="3">
        <f t="shared" si="5"/>
        <v>8500</v>
      </c>
      <c r="Y6" s="3">
        <f t="shared" si="6"/>
        <v>3400</v>
      </c>
      <c r="Z6" s="3">
        <f t="shared" si="7"/>
        <v>1700</v>
      </c>
      <c r="AA6" s="3">
        <f t="shared" si="8"/>
        <v>1700</v>
      </c>
      <c r="AB6" s="3">
        <f t="shared" si="9"/>
        <v>1700</v>
      </c>
      <c r="AC6" s="7">
        <f t="shared" si="10"/>
        <v>0</v>
      </c>
      <c r="AD6" s="55">
        <v>17000</v>
      </c>
      <c r="AE6" s="4">
        <f>+X6/26*R6</f>
        <v>7192.3076923076915</v>
      </c>
      <c r="AF6" s="4">
        <f>+Y6/26*R6</f>
        <v>2876.9230769230771</v>
      </c>
      <c r="AG6" s="4">
        <f>+Z6/26*R6</f>
        <v>1438.4615384615386</v>
      </c>
      <c r="AH6" s="4">
        <f>+AA6/26*R6</f>
        <v>1438.4615384615386</v>
      </c>
      <c r="AI6" s="4">
        <f>+AB6/26*R6</f>
        <v>1438.4615384615386</v>
      </c>
      <c r="AJ6" s="3">
        <f t="shared" si="11"/>
        <v>0</v>
      </c>
      <c r="AK6" s="3">
        <f t="shared" si="12"/>
        <v>0</v>
      </c>
      <c r="AL6" s="3">
        <f t="shared" si="13"/>
        <v>14384.615384615387</v>
      </c>
      <c r="AM6" s="3">
        <v>0</v>
      </c>
      <c r="AN6" s="3">
        <v>1500</v>
      </c>
      <c r="AO6" s="3">
        <v>0</v>
      </c>
      <c r="AP6" s="3">
        <v>0</v>
      </c>
      <c r="AQ6" s="3">
        <v>0</v>
      </c>
      <c r="AR6" s="3">
        <f t="shared" si="14"/>
        <v>1500</v>
      </c>
      <c r="AS6" s="3">
        <f t="shared" si="15"/>
        <v>12884.615384615387</v>
      </c>
      <c r="AT6" s="8"/>
      <c r="AU6" s="3">
        <v>0</v>
      </c>
      <c r="AV6" s="3">
        <v>0</v>
      </c>
      <c r="AW6" s="3">
        <f t="shared" si="16"/>
        <v>0</v>
      </c>
      <c r="AX6" s="13">
        <f t="shared" si="17"/>
        <v>0</v>
      </c>
    </row>
    <row r="7" spans="2:50" s="32" customFormat="1" ht="44.25" customHeight="1" x14ac:dyDescent="0.25">
      <c r="B7" s="124">
        <v>3</v>
      </c>
      <c r="C7" s="35">
        <v>10135</v>
      </c>
      <c r="D7" s="35">
        <v>10135</v>
      </c>
      <c r="E7" s="34" t="s">
        <v>25</v>
      </c>
      <c r="F7" s="120" t="s">
        <v>206</v>
      </c>
      <c r="G7" s="6" t="s">
        <v>77</v>
      </c>
      <c r="H7" s="110" t="s">
        <v>211</v>
      </c>
      <c r="I7" s="116">
        <v>45625</v>
      </c>
      <c r="J7" s="5"/>
      <c r="K7" s="5">
        <v>46111</v>
      </c>
      <c r="L7" s="5" t="str">
        <f>DATEDIF(I7,K7,"y")&amp;" years,"&amp;DATEDIF(I7,K7,"ym")&amp;" months"</f>
        <v>1 years,4 months</v>
      </c>
      <c r="M7" s="1">
        <v>26</v>
      </c>
      <c r="N7" s="1">
        <v>0</v>
      </c>
      <c r="O7" s="1">
        <v>0</v>
      </c>
      <c r="P7" s="1">
        <v>0</v>
      </c>
      <c r="Q7" s="1">
        <v>0</v>
      </c>
      <c r="R7" s="2">
        <f>SUM(M7:Q7)</f>
        <v>26</v>
      </c>
      <c r="S7" s="1">
        <v>0</v>
      </c>
      <c r="T7" s="2">
        <f>IF(S7&lt;=50,S7,IF(S7&gt;=50,50,))</f>
        <v>0</v>
      </c>
      <c r="U7" s="2">
        <f>SUM(S7-T7)</f>
        <v>0</v>
      </c>
      <c r="V7" s="2">
        <f>T7/2</f>
        <v>0</v>
      </c>
      <c r="W7" s="1">
        <v>0</v>
      </c>
      <c r="X7" s="3">
        <f>AD7*50%</f>
        <v>9000</v>
      </c>
      <c r="Y7" s="3">
        <f>AD7*20%</f>
        <v>3600</v>
      </c>
      <c r="Z7" s="3">
        <f>AD7*10%</f>
        <v>1800</v>
      </c>
      <c r="AA7" s="3">
        <f>AD7*10%</f>
        <v>1800</v>
      </c>
      <c r="AB7" s="3">
        <f>AD7*10%</f>
        <v>1800</v>
      </c>
      <c r="AC7" s="7">
        <f>W7/8</f>
        <v>0</v>
      </c>
      <c r="AD7" s="55">
        <v>18000</v>
      </c>
      <c r="AE7" s="4">
        <f>+X7/26*R7</f>
        <v>9000</v>
      </c>
      <c r="AF7" s="4">
        <f>+Y7/26*R7</f>
        <v>3600</v>
      </c>
      <c r="AG7" s="4">
        <f>+Z7/26*R7</f>
        <v>1800</v>
      </c>
      <c r="AH7" s="4">
        <f>+AA7/26*R7</f>
        <v>1800</v>
      </c>
      <c r="AI7" s="4">
        <f>+AB7/26*R7</f>
        <v>1800</v>
      </c>
      <c r="AJ7" s="3">
        <f t="shared" ref="AJ7" si="18">SUM(U7*AC7)</f>
        <v>0</v>
      </c>
      <c r="AK7" s="3">
        <f t="shared" ref="AK7" si="19">SUM(T7*AC7)</f>
        <v>0</v>
      </c>
      <c r="AL7" s="3">
        <f t="shared" ref="AL7" si="20">SUM(AE7:AK7)</f>
        <v>18000</v>
      </c>
      <c r="AM7" s="3">
        <v>0</v>
      </c>
      <c r="AN7" s="3">
        <v>1500</v>
      </c>
      <c r="AO7" s="3">
        <v>0</v>
      </c>
      <c r="AP7" s="3">
        <v>500</v>
      </c>
      <c r="AQ7" s="3">
        <v>0</v>
      </c>
      <c r="AR7" s="3">
        <f>SUM(AN7:AQ7)</f>
        <v>2000</v>
      </c>
      <c r="AS7" s="3">
        <f>+AL7-AR7</f>
        <v>16000</v>
      </c>
      <c r="AT7" s="3"/>
      <c r="AU7" s="3">
        <v>0</v>
      </c>
      <c r="AV7" s="3">
        <v>17000</v>
      </c>
      <c r="AW7" s="3">
        <f>AU7+AV7</f>
        <v>17000</v>
      </c>
      <c r="AX7" s="13">
        <f>AW7-AP7</f>
        <v>16500</v>
      </c>
    </row>
    <row r="8" spans="2:50" s="32" customFormat="1" ht="44.25" customHeight="1" x14ac:dyDescent="0.25">
      <c r="B8" s="124">
        <v>4</v>
      </c>
      <c r="C8" s="183">
        <v>1077</v>
      </c>
      <c r="D8" s="183">
        <v>1077</v>
      </c>
      <c r="E8" s="34" t="s">
        <v>25</v>
      </c>
      <c r="F8" s="184" t="s">
        <v>293</v>
      </c>
      <c r="G8" s="6"/>
      <c r="H8" s="110"/>
      <c r="I8" s="116"/>
      <c r="J8" s="5"/>
      <c r="K8" s="5"/>
      <c r="L8" s="5"/>
      <c r="M8" s="1">
        <v>26</v>
      </c>
      <c r="N8" s="1">
        <v>0</v>
      </c>
      <c r="O8" s="1">
        <v>0</v>
      </c>
      <c r="P8" s="1">
        <v>0</v>
      </c>
      <c r="Q8" s="1">
        <v>0</v>
      </c>
      <c r="R8" s="2">
        <f>SUM(M8:Q8)</f>
        <v>26</v>
      </c>
      <c r="S8" s="1">
        <v>0</v>
      </c>
      <c r="T8" s="2">
        <f>IF(S8&lt;=50,S8,IF(S8&gt;=50,50,))</f>
        <v>0</v>
      </c>
      <c r="U8" s="2">
        <f>SUM(S8-T8)</f>
        <v>0</v>
      </c>
      <c r="V8" s="2">
        <f>T8/2</f>
        <v>0</v>
      </c>
      <c r="W8" s="1">
        <v>0</v>
      </c>
      <c r="X8" s="3">
        <f>AD8*50%</f>
        <v>7500</v>
      </c>
      <c r="Y8" s="3">
        <f>AD8*20%</f>
        <v>3000</v>
      </c>
      <c r="Z8" s="3">
        <f>AD8*10%</f>
        <v>1500</v>
      </c>
      <c r="AA8" s="3">
        <f>AD8*10%</f>
        <v>1500</v>
      </c>
      <c r="AB8" s="3">
        <f>AD8*10%</f>
        <v>1500</v>
      </c>
      <c r="AC8" s="7">
        <f>W8/8</f>
        <v>0</v>
      </c>
      <c r="AD8" s="55">
        <v>15000</v>
      </c>
      <c r="AE8" s="4">
        <f>+X8/26*R8</f>
        <v>7500</v>
      </c>
      <c r="AF8" s="4">
        <f>+Y8/26*R8</f>
        <v>3000</v>
      </c>
      <c r="AG8" s="4">
        <f>+Z8/26*R8</f>
        <v>1500</v>
      </c>
      <c r="AH8" s="4">
        <f>+AA8/26*R8</f>
        <v>1500</v>
      </c>
      <c r="AI8" s="4">
        <f>+AB8/26*R8</f>
        <v>1500</v>
      </c>
      <c r="AJ8" s="3">
        <f t="shared" ref="AJ8:AJ15" si="21">SUM(U8*AC8)</f>
        <v>0</v>
      </c>
      <c r="AK8" s="3">
        <f t="shared" ref="AK8:AK15" si="22">SUM(T8*AC8)</f>
        <v>0</v>
      </c>
      <c r="AL8" s="3">
        <f t="shared" ref="AL8:AL15" si="23">SUM(AE8:AK8)</f>
        <v>15000</v>
      </c>
      <c r="AM8" s="3">
        <v>0</v>
      </c>
      <c r="AN8" s="3">
        <v>1500</v>
      </c>
      <c r="AO8" s="3">
        <v>0</v>
      </c>
      <c r="AP8" s="3">
        <v>0</v>
      </c>
      <c r="AQ8" s="3">
        <v>0</v>
      </c>
      <c r="AR8" s="3">
        <f>SUM(AN8:AQ8)</f>
        <v>1500</v>
      </c>
      <c r="AS8" s="3">
        <f>+AL8-AR8</f>
        <v>13500</v>
      </c>
      <c r="AT8" s="8"/>
      <c r="AU8" s="3">
        <v>0</v>
      </c>
      <c r="AV8" s="3">
        <v>0</v>
      </c>
      <c r="AW8" s="3">
        <f t="shared" ref="AW8:AW15" si="24">AU8+AV8</f>
        <v>0</v>
      </c>
      <c r="AX8" s="13">
        <v>0</v>
      </c>
    </row>
    <row r="9" spans="2:50" s="32" customFormat="1" ht="44.25" customHeight="1" x14ac:dyDescent="0.25">
      <c r="B9" s="124">
        <v>5</v>
      </c>
      <c r="C9" s="183">
        <v>1078</v>
      </c>
      <c r="D9" s="183">
        <v>1078</v>
      </c>
      <c r="E9" s="34" t="s">
        <v>25</v>
      </c>
      <c r="F9" s="184" t="s">
        <v>294</v>
      </c>
      <c r="G9" s="6"/>
      <c r="H9" s="110"/>
      <c r="I9" s="116"/>
      <c r="J9" s="5"/>
      <c r="K9" s="5"/>
      <c r="L9" s="5"/>
      <c r="M9" s="1">
        <v>24</v>
      </c>
      <c r="N9" s="1">
        <v>0</v>
      </c>
      <c r="O9" s="1">
        <v>0</v>
      </c>
      <c r="P9" s="1">
        <v>0</v>
      </c>
      <c r="Q9" s="1">
        <v>0</v>
      </c>
      <c r="R9" s="2">
        <f t="shared" ref="R9:R15" si="25">SUM(M9:Q9)</f>
        <v>24</v>
      </c>
      <c r="S9" s="1">
        <v>0</v>
      </c>
      <c r="T9" s="2">
        <f t="shared" ref="T9:T15" si="26">IF(S9&lt;=50,S9,IF(S9&gt;=50,50,))</f>
        <v>0</v>
      </c>
      <c r="U9" s="2">
        <f t="shared" ref="U9:U15" si="27">SUM(S9-T9)</f>
        <v>0</v>
      </c>
      <c r="V9" s="2">
        <f t="shared" ref="V9:V15" si="28">T9/2</f>
        <v>0</v>
      </c>
      <c r="W9" s="1">
        <v>0</v>
      </c>
      <c r="X9" s="3">
        <f t="shared" ref="X9:X15" si="29">AD9*50%</f>
        <v>7500</v>
      </c>
      <c r="Y9" s="3">
        <f t="shared" ref="Y9:Y15" si="30">AD9*20%</f>
        <v>3000</v>
      </c>
      <c r="Z9" s="3">
        <f t="shared" ref="Z9:Z15" si="31">AD9*10%</f>
        <v>1500</v>
      </c>
      <c r="AA9" s="3">
        <f t="shared" ref="AA9:AA15" si="32">AD9*10%</f>
        <v>1500</v>
      </c>
      <c r="AB9" s="3">
        <f t="shared" ref="AB9:AB15" si="33">AD9*10%</f>
        <v>1500</v>
      </c>
      <c r="AC9" s="7">
        <f t="shared" ref="AC9:AC15" si="34">W9/8</f>
        <v>0</v>
      </c>
      <c r="AD9" s="55">
        <v>15000</v>
      </c>
      <c r="AE9" s="4">
        <f t="shared" ref="AE9:AE15" si="35">+X9/26*R9</f>
        <v>6923.0769230769229</v>
      </c>
      <c r="AF9" s="4">
        <f t="shared" ref="AF9:AF15" si="36">+Y9/26*R9</f>
        <v>2769.2307692307695</v>
      </c>
      <c r="AG9" s="4">
        <f t="shared" ref="AG9:AG15" si="37">+Z9/26*R9</f>
        <v>1384.6153846153848</v>
      </c>
      <c r="AH9" s="4">
        <f t="shared" ref="AH9:AH15" si="38">+AA9/26*R9</f>
        <v>1384.6153846153848</v>
      </c>
      <c r="AI9" s="4">
        <f t="shared" ref="AI9:AI15" si="39">+AB9/26*R9</f>
        <v>1384.6153846153848</v>
      </c>
      <c r="AJ9" s="3">
        <f t="shared" si="21"/>
        <v>0</v>
      </c>
      <c r="AK9" s="3">
        <f t="shared" si="22"/>
        <v>0</v>
      </c>
      <c r="AL9" s="3">
        <f t="shared" si="23"/>
        <v>13846.153846153846</v>
      </c>
      <c r="AM9" s="3">
        <v>0</v>
      </c>
      <c r="AN9" s="3">
        <v>1500</v>
      </c>
      <c r="AO9" s="3">
        <v>0</v>
      </c>
      <c r="AP9" s="3">
        <v>0</v>
      </c>
      <c r="AQ9" s="3">
        <v>0</v>
      </c>
      <c r="AR9" s="3">
        <f t="shared" ref="AR9:AR15" si="40">SUM(AN9:AQ9)</f>
        <v>1500</v>
      </c>
      <c r="AS9" s="3">
        <f t="shared" ref="AS9:AS15" si="41">+AL9-AR9</f>
        <v>12346.153846153846</v>
      </c>
      <c r="AT9" s="8"/>
      <c r="AU9" s="3">
        <v>0</v>
      </c>
      <c r="AV9" s="3">
        <v>0</v>
      </c>
      <c r="AW9" s="3">
        <f t="shared" si="24"/>
        <v>0</v>
      </c>
      <c r="AX9" s="13">
        <v>0</v>
      </c>
    </row>
    <row r="10" spans="2:50" s="32" customFormat="1" ht="44.25" customHeight="1" x14ac:dyDescent="0.25">
      <c r="B10" s="124">
        <v>6</v>
      </c>
      <c r="C10" s="183">
        <v>1079</v>
      </c>
      <c r="D10" s="183">
        <v>1079</v>
      </c>
      <c r="E10" s="34" t="s">
        <v>25</v>
      </c>
      <c r="F10" s="184" t="s">
        <v>295</v>
      </c>
      <c r="G10" s="6"/>
      <c r="H10" s="110"/>
      <c r="I10" s="116"/>
      <c r="J10" s="5"/>
      <c r="K10" s="5"/>
      <c r="L10" s="5"/>
      <c r="M10" s="1">
        <v>24</v>
      </c>
      <c r="N10" s="1">
        <v>0</v>
      </c>
      <c r="O10" s="1">
        <v>0</v>
      </c>
      <c r="P10" s="1">
        <v>0</v>
      </c>
      <c r="Q10" s="1">
        <v>0</v>
      </c>
      <c r="R10" s="2">
        <f t="shared" si="25"/>
        <v>24</v>
      </c>
      <c r="S10" s="1">
        <v>0</v>
      </c>
      <c r="T10" s="2">
        <f t="shared" si="26"/>
        <v>0</v>
      </c>
      <c r="U10" s="2">
        <f t="shared" si="27"/>
        <v>0</v>
      </c>
      <c r="V10" s="2">
        <f t="shared" si="28"/>
        <v>0</v>
      </c>
      <c r="W10" s="1">
        <v>0</v>
      </c>
      <c r="X10" s="3">
        <f t="shared" si="29"/>
        <v>7500</v>
      </c>
      <c r="Y10" s="3">
        <f t="shared" si="30"/>
        <v>3000</v>
      </c>
      <c r="Z10" s="3">
        <f t="shared" si="31"/>
        <v>1500</v>
      </c>
      <c r="AA10" s="3">
        <f t="shared" si="32"/>
        <v>1500</v>
      </c>
      <c r="AB10" s="3">
        <f t="shared" si="33"/>
        <v>1500</v>
      </c>
      <c r="AC10" s="7">
        <f t="shared" si="34"/>
        <v>0</v>
      </c>
      <c r="AD10" s="55">
        <v>15000</v>
      </c>
      <c r="AE10" s="4">
        <f t="shared" si="35"/>
        <v>6923.0769230769229</v>
      </c>
      <c r="AF10" s="4">
        <f t="shared" si="36"/>
        <v>2769.2307692307695</v>
      </c>
      <c r="AG10" s="4">
        <f t="shared" si="37"/>
        <v>1384.6153846153848</v>
      </c>
      <c r="AH10" s="4">
        <f t="shared" si="38"/>
        <v>1384.6153846153848</v>
      </c>
      <c r="AI10" s="4">
        <f t="shared" si="39"/>
        <v>1384.6153846153848</v>
      </c>
      <c r="AJ10" s="3">
        <f t="shared" si="21"/>
        <v>0</v>
      </c>
      <c r="AK10" s="3">
        <f t="shared" si="22"/>
        <v>0</v>
      </c>
      <c r="AL10" s="3">
        <f t="shared" si="23"/>
        <v>13846.153846153846</v>
      </c>
      <c r="AM10" s="3">
        <v>0</v>
      </c>
      <c r="AN10" s="3">
        <v>1500</v>
      </c>
      <c r="AO10" s="3">
        <v>0</v>
      </c>
      <c r="AP10" s="3">
        <v>0</v>
      </c>
      <c r="AQ10" s="3">
        <v>0</v>
      </c>
      <c r="AR10" s="3">
        <f t="shared" si="40"/>
        <v>1500</v>
      </c>
      <c r="AS10" s="3">
        <f t="shared" si="41"/>
        <v>12346.153846153846</v>
      </c>
      <c r="AT10" s="8"/>
      <c r="AU10" s="3">
        <v>0</v>
      </c>
      <c r="AV10" s="3">
        <v>0</v>
      </c>
      <c r="AW10" s="3">
        <f t="shared" si="24"/>
        <v>0</v>
      </c>
      <c r="AX10" s="13">
        <v>0</v>
      </c>
    </row>
    <row r="11" spans="2:50" s="32" customFormat="1" ht="44.25" customHeight="1" x14ac:dyDescent="0.25">
      <c r="B11" s="124">
        <v>7</v>
      </c>
      <c r="C11" s="183">
        <v>1080</v>
      </c>
      <c r="D11" s="183">
        <v>1080</v>
      </c>
      <c r="E11" s="34" t="s">
        <v>25</v>
      </c>
      <c r="F11" s="184" t="s">
        <v>296</v>
      </c>
      <c r="G11" s="6"/>
      <c r="H11" s="110"/>
      <c r="I11" s="116"/>
      <c r="J11" s="5"/>
      <c r="K11" s="5"/>
      <c r="L11" s="5"/>
      <c r="M11" s="1">
        <v>25</v>
      </c>
      <c r="N11" s="1">
        <v>0</v>
      </c>
      <c r="O11" s="1">
        <v>0</v>
      </c>
      <c r="P11" s="1">
        <v>0</v>
      </c>
      <c r="Q11" s="1">
        <v>0</v>
      </c>
      <c r="R11" s="2">
        <f t="shared" si="25"/>
        <v>25</v>
      </c>
      <c r="S11" s="1">
        <v>0</v>
      </c>
      <c r="T11" s="2">
        <f t="shared" si="26"/>
        <v>0</v>
      </c>
      <c r="U11" s="2">
        <f t="shared" si="27"/>
        <v>0</v>
      </c>
      <c r="V11" s="2">
        <f t="shared" si="28"/>
        <v>0</v>
      </c>
      <c r="W11" s="1">
        <v>0</v>
      </c>
      <c r="X11" s="3">
        <f t="shared" si="29"/>
        <v>7500</v>
      </c>
      <c r="Y11" s="3">
        <f t="shared" si="30"/>
        <v>3000</v>
      </c>
      <c r="Z11" s="3">
        <f t="shared" si="31"/>
        <v>1500</v>
      </c>
      <c r="AA11" s="3">
        <f t="shared" si="32"/>
        <v>1500</v>
      </c>
      <c r="AB11" s="3">
        <f t="shared" si="33"/>
        <v>1500</v>
      </c>
      <c r="AC11" s="7">
        <f t="shared" si="34"/>
        <v>0</v>
      </c>
      <c r="AD11" s="55">
        <v>15000</v>
      </c>
      <c r="AE11" s="4">
        <f t="shared" si="35"/>
        <v>7211.538461538461</v>
      </c>
      <c r="AF11" s="4">
        <f t="shared" si="36"/>
        <v>2884.6153846153848</v>
      </c>
      <c r="AG11" s="4">
        <f t="shared" si="37"/>
        <v>1442.3076923076924</v>
      </c>
      <c r="AH11" s="4">
        <f t="shared" si="38"/>
        <v>1442.3076923076924</v>
      </c>
      <c r="AI11" s="4">
        <f t="shared" si="39"/>
        <v>1442.3076923076924</v>
      </c>
      <c r="AJ11" s="3">
        <f t="shared" si="21"/>
        <v>0</v>
      </c>
      <c r="AK11" s="3">
        <f t="shared" si="22"/>
        <v>0</v>
      </c>
      <c r="AL11" s="3">
        <f t="shared" si="23"/>
        <v>14423.076923076922</v>
      </c>
      <c r="AM11" s="3">
        <v>0</v>
      </c>
      <c r="AN11" s="3">
        <v>1500</v>
      </c>
      <c r="AO11" s="3">
        <v>0</v>
      </c>
      <c r="AP11" s="3">
        <v>0</v>
      </c>
      <c r="AQ11" s="3">
        <v>0</v>
      </c>
      <c r="AR11" s="3">
        <f t="shared" si="40"/>
        <v>1500</v>
      </c>
      <c r="AS11" s="3">
        <f t="shared" si="41"/>
        <v>12923.076923076922</v>
      </c>
      <c r="AT11" s="8"/>
      <c r="AU11" s="3">
        <v>0</v>
      </c>
      <c r="AV11" s="3">
        <v>0</v>
      </c>
      <c r="AW11" s="3">
        <f t="shared" si="24"/>
        <v>0</v>
      </c>
      <c r="AX11" s="13">
        <v>0</v>
      </c>
    </row>
    <row r="12" spans="2:50" s="32" customFormat="1" ht="44.25" customHeight="1" x14ac:dyDescent="0.25">
      <c r="B12" s="124">
        <v>8</v>
      </c>
      <c r="C12" s="183">
        <v>1081</v>
      </c>
      <c r="D12" s="183">
        <v>1081</v>
      </c>
      <c r="E12" s="34" t="s">
        <v>25</v>
      </c>
      <c r="F12" s="184" t="s">
        <v>297</v>
      </c>
      <c r="G12" s="6"/>
      <c r="H12" s="110"/>
      <c r="I12" s="116"/>
      <c r="J12" s="5"/>
      <c r="K12" s="5"/>
      <c r="L12" s="5"/>
      <c r="M12" s="1">
        <v>23.5</v>
      </c>
      <c r="N12" s="1">
        <v>0</v>
      </c>
      <c r="O12" s="1">
        <v>0</v>
      </c>
      <c r="P12" s="1">
        <v>0</v>
      </c>
      <c r="Q12" s="1">
        <v>0</v>
      </c>
      <c r="R12" s="2">
        <f t="shared" si="25"/>
        <v>23.5</v>
      </c>
      <c r="S12" s="1">
        <v>0</v>
      </c>
      <c r="T12" s="2">
        <f t="shared" si="26"/>
        <v>0</v>
      </c>
      <c r="U12" s="2">
        <f t="shared" si="27"/>
        <v>0</v>
      </c>
      <c r="V12" s="2">
        <f t="shared" si="28"/>
        <v>0</v>
      </c>
      <c r="W12" s="1">
        <v>0</v>
      </c>
      <c r="X12" s="3">
        <f t="shared" si="29"/>
        <v>7500</v>
      </c>
      <c r="Y12" s="3">
        <f t="shared" si="30"/>
        <v>3000</v>
      </c>
      <c r="Z12" s="3">
        <f t="shared" si="31"/>
        <v>1500</v>
      </c>
      <c r="AA12" s="3">
        <f t="shared" si="32"/>
        <v>1500</v>
      </c>
      <c r="AB12" s="3">
        <f t="shared" si="33"/>
        <v>1500</v>
      </c>
      <c r="AC12" s="7">
        <f t="shared" si="34"/>
        <v>0</v>
      </c>
      <c r="AD12" s="55">
        <v>15000</v>
      </c>
      <c r="AE12" s="4">
        <f t="shared" si="35"/>
        <v>6778.8461538461534</v>
      </c>
      <c r="AF12" s="4">
        <f t="shared" si="36"/>
        <v>2711.5384615384614</v>
      </c>
      <c r="AG12" s="4">
        <f t="shared" si="37"/>
        <v>1355.7692307692307</v>
      </c>
      <c r="AH12" s="4">
        <f t="shared" si="38"/>
        <v>1355.7692307692307</v>
      </c>
      <c r="AI12" s="4">
        <f t="shared" si="39"/>
        <v>1355.7692307692307</v>
      </c>
      <c r="AJ12" s="3">
        <f t="shared" si="21"/>
        <v>0</v>
      </c>
      <c r="AK12" s="3">
        <f t="shared" si="22"/>
        <v>0</v>
      </c>
      <c r="AL12" s="3">
        <f t="shared" si="23"/>
        <v>13557.692307692307</v>
      </c>
      <c r="AM12" s="3">
        <v>0</v>
      </c>
      <c r="AN12" s="3">
        <v>1500</v>
      </c>
      <c r="AO12" s="3">
        <v>0</v>
      </c>
      <c r="AP12" s="3">
        <v>0</v>
      </c>
      <c r="AQ12" s="3">
        <v>0</v>
      </c>
      <c r="AR12" s="3">
        <f t="shared" si="40"/>
        <v>1500</v>
      </c>
      <c r="AS12" s="3">
        <f t="shared" si="41"/>
        <v>12057.692307692307</v>
      </c>
      <c r="AT12" s="8"/>
      <c r="AU12" s="3">
        <v>0</v>
      </c>
      <c r="AV12" s="3">
        <v>0</v>
      </c>
      <c r="AW12" s="3">
        <f t="shared" si="24"/>
        <v>0</v>
      </c>
      <c r="AX12" s="13">
        <v>0</v>
      </c>
    </row>
    <row r="13" spans="2:50" s="32" customFormat="1" ht="44.25" customHeight="1" x14ac:dyDescent="0.25">
      <c r="B13" s="124">
        <v>9</v>
      </c>
      <c r="C13" s="183">
        <v>1082</v>
      </c>
      <c r="D13" s="183">
        <v>1082</v>
      </c>
      <c r="E13" s="34" t="s">
        <v>25</v>
      </c>
      <c r="F13" s="184" t="s">
        <v>298</v>
      </c>
      <c r="G13" s="6"/>
      <c r="H13" s="110"/>
      <c r="I13" s="116"/>
      <c r="J13" s="5"/>
      <c r="K13" s="5"/>
      <c r="L13" s="5"/>
      <c r="M13" s="1">
        <v>21</v>
      </c>
      <c r="N13" s="1">
        <v>0</v>
      </c>
      <c r="O13" s="1">
        <v>0</v>
      </c>
      <c r="P13" s="1">
        <v>0</v>
      </c>
      <c r="Q13" s="1">
        <v>0</v>
      </c>
      <c r="R13" s="2">
        <f t="shared" si="25"/>
        <v>21</v>
      </c>
      <c r="S13" s="1">
        <v>0</v>
      </c>
      <c r="T13" s="2">
        <f t="shared" si="26"/>
        <v>0</v>
      </c>
      <c r="U13" s="2">
        <f t="shared" si="27"/>
        <v>0</v>
      </c>
      <c r="V13" s="2">
        <f t="shared" si="28"/>
        <v>0</v>
      </c>
      <c r="W13" s="1">
        <v>0</v>
      </c>
      <c r="X13" s="3">
        <f t="shared" si="29"/>
        <v>7500</v>
      </c>
      <c r="Y13" s="3">
        <f t="shared" si="30"/>
        <v>3000</v>
      </c>
      <c r="Z13" s="3">
        <f t="shared" si="31"/>
        <v>1500</v>
      </c>
      <c r="AA13" s="3">
        <f t="shared" si="32"/>
        <v>1500</v>
      </c>
      <c r="AB13" s="3">
        <f t="shared" si="33"/>
        <v>1500</v>
      </c>
      <c r="AC13" s="7">
        <f t="shared" si="34"/>
        <v>0</v>
      </c>
      <c r="AD13" s="55">
        <v>15000</v>
      </c>
      <c r="AE13" s="4">
        <f t="shared" si="35"/>
        <v>6057.6923076923076</v>
      </c>
      <c r="AF13" s="4">
        <f t="shared" si="36"/>
        <v>2423.0769230769233</v>
      </c>
      <c r="AG13" s="4">
        <f t="shared" si="37"/>
        <v>1211.5384615384617</v>
      </c>
      <c r="AH13" s="4">
        <f t="shared" si="38"/>
        <v>1211.5384615384617</v>
      </c>
      <c r="AI13" s="4">
        <f t="shared" si="39"/>
        <v>1211.5384615384617</v>
      </c>
      <c r="AJ13" s="3">
        <f t="shared" si="21"/>
        <v>0</v>
      </c>
      <c r="AK13" s="3">
        <f t="shared" si="22"/>
        <v>0</v>
      </c>
      <c r="AL13" s="3">
        <f t="shared" si="23"/>
        <v>12115.384615384613</v>
      </c>
      <c r="AM13" s="3">
        <v>0</v>
      </c>
      <c r="AN13" s="3">
        <v>1500</v>
      </c>
      <c r="AO13" s="3">
        <v>0</v>
      </c>
      <c r="AP13" s="3">
        <v>0</v>
      </c>
      <c r="AQ13" s="3">
        <v>0</v>
      </c>
      <c r="AR13" s="3">
        <f t="shared" si="40"/>
        <v>1500</v>
      </c>
      <c r="AS13" s="3">
        <f t="shared" si="41"/>
        <v>10615.384615384613</v>
      </c>
      <c r="AT13" s="8"/>
      <c r="AU13" s="3">
        <v>0</v>
      </c>
      <c r="AV13" s="3">
        <v>0</v>
      </c>
      <c r="AW13" s="3">
        <f t="shared" si="24"/>
        <v>0</v>
      </c>
      <c r="AX13" s="13">
        <v>0</v>
      </c>
    </row>
    <row r="14" spans="2:50" s="32" customFormat="1" ht="44.25" customHeight="1" x14ac:dyDescent="0.25">
      <c r="B14" s="124">
        <v>10</v>
      </c>
      <c r="C14" s="183">
        <v>1083</v>
      </c>
      <c r="D14" s="183">
        <v>1083</v>
      </c>
      <c r="E14" s="34" t="s">
        <v>25</v>
      </c>
      <c r="F14" s="184" t="s">
        <v>299</v>
      </c>
      <c r="G14" s="6"/>
      <c r="H14" s="110"/>
      <c r="I14" s="116"/>
      <c r="J14" s="5"/>
      <c r="K14" s="5"/>
      <c r="L14" s="5"/>
      <c r="M14" s="1">
        <v>25</v>
      </c>
      <c r="N14" s="1">
        <v>0</v>
      </c>
      <c r="O14" s="1">
        <v>0</v>
      </c>
      <c r="P14" s="1">
        <v>0</v>
      </c>
      <c r="Q14" s="1">
        <v>0</v>
      </c>
      <c r="R14" s="2">
        <f t="shared" si="25"/>
        <v>25</v>
      </c>
      <c r="S14" s="1">
        <v>0</v>
      </c>
      <c r="T14" s="2">
        <f t="shared" si="26"/>
        <v>0</v>
      </c>
      <c r="U14" s="2">
        <f t="shared" si="27"/>
        <v>0</v>
      </c>
      <c r="V14" s="2">
        <f t="shared" si="28"/>
        <v>0</v>
      </c>
      <c r="W14" s="1">
        <v>0</v>
      </c>
      <c r="X14" s="3">
        <f t="shared" si="29"/>
        <v>7500</v>
      </c>
      <c r="Y14" s="3">
        <f t="shared" si="30"/>
        <v>3000</v>
      </c>
      <c r="Z14" s="3">
        <f t="shared" si="31"/>
        <v>1500</v>
      </c>
      <c r="AA14" s="3">
        <f t="shared" si="32"/>
        <v>1500</v>
      </c>
      <c r="AB14" s="3">
        <f t="shared" si="33"/>
        <v>1500</v>
      </c>
      <c r="AC14" s="7">
        <f t="shared" si="34"/>
        <v>0</v>
      </c>
      <c r="AD14" s="55">
        <v>15000</v>
      </c>
      <c r="AE14" s="4">
        <f t="shared" si="35"/>
        <v>7211.538461538461</v>
      </c>
      <c r="AF14" s="4">
        <f t="shared" si="36"/>
        <v>2884.6153846153848</v>
      </c>
      <c r="AG14" s="4">
        <f t="shared" si="37"/>
        <v>1442.3076923076924</v>
      </c>
      <c r="AH14" s="4">
        <f t="shared" si="38"/>
        <v>1442.3076923076924</v>
      </c>
      <c r="AI14" s="4">
        <f t="shared" si="39"/>
        <v>1442.3076923076924</v>
      </c>
      <c r="AJ14" s="3">
        <f t="shared" si="21"/>
        <v>0</v>
      </c>
      <c r="AK14" s="3">
        <f t="shared" si="22"/>
        <v>0</v>
      </c>
      <c r="AL14" s="3">
        <f t="shared" si="23"/>
        <v>14423.076923076922</v>
      </c>
      <c r="AM14" s="3">
        <v>0</v>
      </c>
      <c r="AN14" s="3">
        <v>1500</v>
      </c>
      <c r="AO14" s="3">
        <v>0</v>
      </c>
      <c r="AP14" s="3">
        <v>0</v>
      </c>
      <c r="AQ14" s="3">
        <v>0</v>
      </c>
      <c r="AR14" s="3">
        <f t="shared" si="40"/>
        <v>1500</v>
      </c>
      <c r="AS14" s="3">
        <f t="shared" si="41"/>
        <v>12923.076923076922</v>
      </c>
      <c r="AT14" s="8"/>
      <c r="AU14" s="3">
        <v>0</v>
      </c>
      <c r="AV14" s="3">
        <v>0</v>
      </c>
      <c r="AW14" s="3">
        <f t="shared" si="24"/>
        <v>0</v>
      </c>
      <c r="AX14" s="13">
        <v>0</v>
      </c>
    </row>
    <row r="15" spans="2:50" s="32" customFormat="1" ht="44.25" customHeight="1" thickBot="1" x14ac:dyDescent="0.3">
      <c r="B15" s="125">
        <v>11</v>
      </c>
      <c r="C15" s="185">
        <v>1084</v>
      </c>
      <c r="D15" s="185">
        <v>1084</v>
      </c>
      <c r="E15" s="117" t="s">
        <v>25</v>
      </c>
      <c r="F15" s="186" t="s">
        <v>300</v>
      </c>
      <c r="G15" s="126"/>
      <c r="H15" s="118"/>
      <c r="I15" s="119"/>
      <c r="J15" s="47"/>
      <c r="K15" s="47"/>
      <c r="L15" s="47"/>
      <c r="M15" s="171">
        <v>26</v>
      </c>
      <c r="N15" s="171">
        <v>0</v>
      </c>
      <c r="O15" s="171">
        <v>0</v>
      </c>
      <c r="P15" s="171">
        <v>0</v>
      </c>
      <c r="Q15" s="171">
        <v>0</v>
      </c>
      <c r="R15" s="172">
        <f t="shared" si="25"/>
        <v>26</v>
      </c>
      <c r="S15" s="171">
        <v>0</v>
      </c>
      <c r="T15" s="172">
        <f t="shared" si="26"/>
        <v>0</v>
      </c>
      <c r="U15" s="172">
        <f t="shared" si="27"/>
        <v>0</v>
      </c>
      <c r="V15" s="172">
        <f t="shared" si="28"/>
        <v>0</v>
      </c>
      <c r="W15" s="171">
        <v>0</v>
      </c>
      <c r="X15" s="48">
        <f t="shared" si="29"/>
        <v>7500</v>
      </c>
      <c r="Y15" s="48">
        <f t="shared" si="30"/>
        <v>3000</v>
      </c>
      <c r="Z15" s="48">
        <f t="shared" si="31"/>
        <v>1500</v>
      </c>
      <c r="AA15" s="48">
        <f t="shared" si="32"/>
        <v>1500</v>
      </c>
      <c r="AB15" s="48">
        <f t="shared" si="33"/>
        <v>1500</v>
      </c>
      <c r="AC15" s="173">
        <f t="shared" si="34"/>
        <v>0</v>
      </c>
      <c r="AD15" s="174">
        <v>15000</v>
      </c>
      <c r="AE15" s="175">
        <f t="shared" si="35"/>
        <v>7500</v>
      </c>
      <c r="AF15" s="175">
        <f t="shared" si="36"/>
        <v>3000</v>
      </c>
      <c r="AG15" s="175">
        <f t="shared" si="37"/>
        <v>1500</v>
      </c>
      <c r="AH15" s="175">
        <f t="shared" si="38"/>
        <v>1500</v>
      </c>
      <c r="AI15" s="175">
        <f t="shared" si="39"/>
        <v>1500</v>
      </c>
      <c r="AJ15" s="48">
        <f t="shared" si="21"/>
        <v>0</v>
      </c>
      <c r="AK15" s="48">
        <f t="shared" si="22"/>
        <v>0</v>
      </c>
      <c r="AL15" s="48">
        <f t="shared" si="23"/>
        <v>15000</v>
      </c>
      <c r="AM15" s="48">
        <v>0</v>
      </c>
      <c r="AN15" s="48">
        <v>1500</v>
      </c>
      <c r="AO15" s="48">
        <v>0</v>
      </c>
      <c r="AP15" s="48">
        <v>0</v>
      </c>
      <c r="AQ15" s="48">
        <v>0</v>
      </c>
      <c r="AR15" s="48">
        <f t="shared" si="40"/>
        <v>1500</v>
      </c>
      <c r="AS15" s="48">
        <f t="shared" si="41"/>
        <v>13500</v>
      </c>
      <c r="AT15" s="187"/>
      <c r="AU15" s="3">
        <v>0</v>
      </c>
      <c r="AV15" s="3">
        <v>0</v>
      </c>
      <c r="AW15" s="3">
        <f t="shared" si="24"/>
        <v>0</v>
      </c>
      <c r="AX15" s="13">
        <v>0</v>
      </c>
    </row>
    <row r="16" spans="2:50" ht="62.25" customHeight="1" thickBot="1" x14ac:dyDescent="0.3">
      <c r="B16" s="239" t="s">
        <v>24</v>
      </c>
      <c r="C16" s="238"/>
      <c r="D16" s="238"/>
      <c r="E16" s="238"/>
      <c r="F16" s="238"/>
      <c r="G16" s="238"/>
      <c r="H16" s="238"/>
      <c r="I16" s="238"/>
      <c r="J16" s="238"/>
      <c r="K16" s="238"/>
      <c r="L16" s="240"/>
      <c r="M16" s="123">
        <f t="shared" ref="M16:AS16" si="42">SUM(M5:M15)</f>
        <v>265</v>
      </c>
      <c r="N16" s="123">
        <f t="shared" si="42"/>
        <v>0</v>
      </c>
      <c r="O16" s="123">
        <f t="shared" si="42"/>
        <v>3.5</v>
      </c>
      <c r="P16" s="123">
        <f t="shared" si="42"/>
        <v>0</v>
      </c>
      <c r="Q16" s="123">
        <f t="shared" si="42"/>
        <v>0</v>
      </c>
      <c r="R16" s="123">
        <f t="shared" si="42"/>
        <v>268.5</v>
      </c>
      <c r="S16" s="123">
        <f t="shared" si="42"/>
        <v>0</v>
      </c>
      <c r="T16" s="123">
        <f t="shared" si="42"/>
        <v>0</v>
      </c>
      <c r="U16" s="123">
        <f t="shared" si="42"/>
        <v>0</v>
      </c>
      <c r="V16" s="123">
        <f t="shared" si="42"/>
        <v>0</v>
      </c>
      <c r="W16" s="123">
        <f t="shared" si="42"/>
        <v>0</v>
      </c>
      <c r="X16" s="123">
        <f t="shared" si="42"/>
        <v>86000</v>
      </c>
      <c r="Y16" s="123">
        <f t="shared" si="42"/>
        <v>34400</v>
      </c>
      <c r="Z16" s="123">
        <f t="shared" si="42"/>
        <v>17200</v>
      </c>
      <c r="AA16" s="123">
        <f t="shared" si="42"/>
        <v>17200</v>
      </c>
      <c r="AB16" s="123">
        <f t="shared" si="42"/>
        <v>17200</v>
      </c>
      <c r="AC16" s="123">
        <f t="shared" si="42"/>
        <v>0</v>
      </c>
      <c r="AD16" s="123">
        <f t="shared" si="42"/>
        <v>172000</v>
      </c>
      <c r="AE16" s="123">
        <f t="shared" si="42"/>
        <v>80798.076923076937</v>
      </c>
      <c r="AF16" s="123">
        <f t="shared" si="42"/>
        <v>32319.230769230766</v>
      </c>
      <c r="AG16" s="123">
        <f t="shared" si="42"/>
        <v>16159.615384615383</v>
      </c>
      <c r="AH16" s="123">
        <f t="shared" si="42"/>
        <v>16159.615384615383</v>
      </c>
      <c r="AI16" s="123">
        <f t="shared" si="42"/>
        <v>16159.615384615383</v>
      </c>
      <c r="AJ16" s="123">
        <f t="shared" si="42"/>
        <v>0</v>
      </c>
      <c r="AK16" s="123">
        <f t="shared" si="42"/>
        <v>0</v>
      </c>
      <c r="AL16" s="123">
        <f t="shared" si="42"/>
        <v>161596.15384615387</v>
      </c>
      <c r="AM16" s="123">
        <f t="shared" si="42"/>
        <v>0</v>
      </c>
      <c r="AN16" s="123">
        <f t="shared" si="42"/>
        <v>16500</v>
      </c>
      <c r="AO16" s="123">
        <f t="shared" si="42"/>
        <v>0</v>
      </c>
      <c r="AP16" s="123">
        <f t="shared" si="42"/>
        <v>500</v>
      </c>
      <c r="AQ16" s="123">
        <f t="shared" si="42"/>
        <v>0</v>
      </c>
      <c r="AR16" s="123">
        <f t="shared" si="42"/>
        <v>17000</v>
      </c>
      <c r="AS16" s="123">
        <f t="shared" si="42"/>
        <v>144596.15384615384</v>
      </c>
      <c r="AT16" s="123"/>
      <c r="AU16" s="123">
        <f>SUM(AU5:AU15)</f>
        <v>0</v>
      </c>
      <c r="AV16" s="123">
        <f>SUM(AV5:AV15)</f>
        <v>17000</v>
      </c>
      <c r="AW16" s="123">
        <f>SUM(AW5:AW15)</f>
        <v>17000</v>
      </c>
      <c r="AX16" s="123">
        <f>SUM(AX5:AX15)</f>
        <v>16500</v>
      </c>
    </row>
    <row r="17" spans="2:50" s="32" customFormat="1" ht="99" customHeight="1" thickBot="1" x14ac:dyDescent="0.3">
      <c r="B17" s="198" t="s">
        <v>60</v>
      </c>
      <c r="C17" s="200"/>
      <c r="D17" s="200"/>
      <c r="E17" s="200"/>
      <c r="F17" s="202"/>
      <c r="G17" s="169"/>
      <c r="H17" s="195" t="s">
        <v>61</v>
      </c>
      <c r="I17" s="196"/>
      <c r="J17" s="196"/>
      <c r="K17" s="196"/>
      <c r="L17" s="196"/>
      <c r="M17" s="196"/>
      <c r="N17" s="196"/>
      <c r="O17" s="196"/>
      <c r="P17" s="196"/>
      <c r="Q17" s="196"/>
      <c r="R17" s="197"/>
      <c r="S17" s="241"/>
      <c r="T17" s="242"/>
      <c r="U17" s="242"/>
      <c r="V17" s="242"/>
      <c r="W17" s="242"/>
      <c r="X17" s="242"/>
      <c r="Y17" s="242" t="s">
        <v>62</v>
      </c>
      <c r="Z17" s="242"/>
      <c r="AA17" s="242"/>
      <c r="AB17" s="242"/>
      <c r="AC17" s="242"/>
      <c r="AD17" s="242"/>
      <c r="AE17" s="242"/>
      <c r="AF17" s="243"/>
      <c r="AG17" s="244" t="s">
        <v>63</v>
      </c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6"/>
    </row>
    <row r="18" spans="2:50" s="32" customFormat="1" ht="58.5" customHeight="1" x14ac:dyDescent="0.2">
      <c r="B18" s="10"/>
      <c r="C18" s="10"/>
      <c r="D18" s="10"/>
      <c r="E18" s="10"/>
      <c r="F18" s="10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</row>
  </sheetData>
  <sortState ref="B5:AY15">
    <sortCondition ref="D5:D15"/>
  </sortState>
  <mergeCells count="18">
    <mergeCell ref="B17:F17"/>
    <mergeCell ref="I3:W3"/>
    <mergeCell ref="B3:F3"/>
    <mergeCell ref="X3:AD3"/>
    <mergeCell ref="B2:AX2"/>
    <mergeCell ref="B16:L16"/>
    <mergeCell ref="H17:R17"/>
    <mergeCell ref="S17:AF17"/>
    <mergeCell ref="AX3:AX4"/>
    <mergeCell ref="AN3:AR3"/>
    <mergeCell ref="AG17:AX17"/>
    <mergeCell ref="AS3:AS4"/>
    <mergeCell ref="AT3:AT4"/>
    <mergeCell ref="AU3:AU4"/>
    <mergeCell ref="AV3:AV4"/>
    <mergeCell ref="AW3:AW4"/>
    <mergeCell ref="B1:AX1"/>
    <mergeCell ref="AE3:AM3"/>
  </mergeCells>
  <conditionalFormatting sqref="C5:D15 F5:F15 H5:I15">
    <cfRule type="cellIs" dxfId="7" priority="1" operator="equal">
      <formula>"sunday"</formula>
    </cfRule>
  </conditionalFormatting>
  <printOptions horizontalCentered="1"/>
  <pageMargins left="0.16" right="0.16" top="0.25" bottom="0.25" header="0.25" footer="0.25"/>
  <pageSetup paperSize="9" scale="27" fitToHeight="0" orientation="landscape" r:id="rId1"/>
  <ignoredErrors>
    <ignoredError sqref="AR5:AR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1D92-0FA5-47F3-8CA9-1B8F581323FB}">
  <sheetPr>
    <pageSetUpPr fitToPage="1"/>
  </sheetPr>
  <dimension ref="B1:AX25"/>
  <sheetViews>
    <sheetView zoomScale="68" zoomScaleNormal="68" zoomScaleSheetLayoutView="70" workbookViewId="0">
      <pane xSplit="9" ySplit="4" topLeftCell="AT5" activePane="bottomRight" state="frozen"/>
      <selection pane="topRight" activeCell="I1" sqref="I1"/>
      <selection pane="bottomLeft" activeCell="A5" sqref="A5"/>
      <selection pane="bottomRight" activeCell="F7" sqref="F7"/>
    </sheetView>
  </sheetViews>
  <sheetFormatPr defaultColWidth="9.140625" defaultRowHeight="15" x14ac:dyDescent="0.25"/>
  <cols>
    <col min="1" max="1" width="8.28515625" style="14" customWidth="1"/>
    <col min="2" max="2" width="7.42578125" style="14" bestFit="1" customWidth="1"/>
    <col min="3" max="3" width="14.28515625" style="14" bestFit="1" customWidth="1"/>
    <col min="4" max="4" width="17.140625" style="14" bestFit="1" customWidth="1"/>
    <col min="5" max="5" width="17.5703125" style="14" customWidth="1"/>
    <col min="6" max="6" width="35.28515625" style="14" bestFit="1" customWidth="1"/>
    <col min="7" max="7" width="13.85546875" style="14" customWidth="1"/>
    <col min="8" max="8" width="29.140625" style="14" customWidth="1"/>
    <col min="9" max="9" width="20.140625" style="14" hidden="1" customWidth="1"/>
    <col min="10" max="10" width="16.5703125" style="14" hidden="1" customWidth="1"/>
    <col min="11" max="11" width="12.28515625" style="14" hidden="1" customWidth="1"/>
    <col min="12" max="12" width="18.85546875" style="14" hidden="1" customWidth="1"/>
    <col min="13" max="13" width="17.42578125" style="14" bestFit="1" customWidth="1"/>
    <col min="14" max="14" width="8.5703125" style="14" bestFit="1" customWidth="1"/>
    <col min="15" max="15" width="8.140625" style="14" bestFit="1" customWidth="1"/>
    <col min="16" max="17" width="7.140625" style="14" bestFit="1" customWidth="1"/>
    <col min="18" max="18" width="13.85546875" style="14" bestFit="1" customWidth="1"/>
    <col min="19" max="19" width="14.85546875" style="14" bestFit="1" customWidth="1"/>
    <col min="20" max="20" width="10.7109375" style="14" bestFit="1" customWidth="1"/>
    <col min="21" max="22" width="10" style="14" bestFit="1" customWidth="1"/>
    <col min="23" max="23" width="19.42578125" style="14" bestFit="1" customWidth="1"/>
    <col min="24" max="24" width="14.42578125" style="14" bestFit="1" customWidth="1"/>
    <col min="25" max="25" width="13" style="14" bestFit="1" customWidth="1"/>
    <col min="26" max="26" width="17.42578125" style="14" bestFit="1" customWidth="1"/>
    <col min="27" max="27" width="18.5703125" style="14" bestFit="1" customWidth="1"/>
    <col min="28" max="28" width="15" style="14" bestFit="1" customWidth="1"/>
    <col min="29" max="29" width="18" style="14" bestFit="1" customWidth="1"/>
    <col min="30" max="30" width="17.140625" style="14" bestFit="1" customWidth="1"/>
    <col min="31" max="31" width="14.42578125" style="14" bestFit="1" customWidth="1"/>
    <col min="32" max="32" width="13" style="14" bestFit="1" customWidth="1"/>
    <col min="33" max="33" width="14.42578125" style="14" bestFit="1" customWidth="1"/>
    <col min="34" max="34" width="18.5703125" style="14" bestFit="1" customWidth="1"/>
    <col min="35" max="35" width="15" style="14" bestFit="1" customWidth="1"/>
    <col min="36" max="36" width="13" style="14" bestFit="1" customWidth="1"/>
    <col min="37" max="37" width="13.5703125" style="14" bestFit="1" customWidth="1"/>
    <col min="38" max="38" width="17.140625" style="14" bestFit="1" customWidth="1"/>
    <col min="39" max="39" width="11" style="14" bestFit="1" customWidth="1"/>
    <col min="40" max="40" width="13" style="14" bestFit="1" customWidth="1"/>
    <col min="41" max="41" width="7.140625" style="14" bestFit="1" customWidth="1"/>
    <col min="42" max="42" width="19" style="14" bestFit="1" customWidth="1"/>
    <col min="43" max="43" width="17.42578125" style="14" bestFit="1" customWidth="1"/>
    <col min="44" max="45" width="14.42578125" style="14" bestFit="1" customWidth="1"/>
    <col min="46" max="46" width="13.140625" style="14" bestFit="1" customWidth="1"/>
    <col min="47" max="47" width="29.7109375" style="14" bestFit="1" customWidth="1"/>
    <col min="48" max="48" width="36.85546875" style="14" bestFit="1" customWidth="1"/>
    <col min="49" max="49" width="23" style="14" bestFit="1" customWidth="1"/>
    <col min="50" max="50" width="21.5703125" style="14" bestFit="1" customWidth="1"/>
    <col min="51" max="16384" width="9.140625" style="14"/>
  </cols>
  <sheetData>
    <row r="1" spans="2:50" ht="32.25" customHeight="1" thickBot="1" x14ac:dyDescent="0.3">
      <c r="B1" s="195" t="s">
        <v>228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7"/>
    </row>
    <row r="2" spans="2:50" ht="32.25" customHeight="1" thickBot="1" x14ac:dyDescent="0.3">
      <c r="B2" s="195" t="s">
        <v>308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7"/>
    </row>
    <row r="3" spans="2:50" ht="25.9" customHeight="1" thickBot="1" x14ac:dyDescent="0.3">
      <c r="B3" s="195" t="s">
        <v>18</v>
      </c>
      <c r="C3" s="196"/>
      <c r="D3" s="196"/>
      <c r="E3" s="196"/>
      <c r="F3" s="197"/>
      <c r="G3" s="169"/>
      <c r="H3" s="169">
        <v>26</v>
      </c>
      <c r="I3" s="195" t="s">
        <v>64</v>
      </c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7"/>
      <c r="X3" s="195" t="s">
        <v>56</v>
      </c>
      <c r="Y3" s="196"/>
      <c r="Z3" s="196"/>
      <c r="AA3" s="196"/>
      <c r="AB3" s="196"/>
      <c r="AC3" s="196"/>
      <c r="AD3" s="197"/>
      <c r="AE3" s="196" t="s">
        <v>12</v>
      </c>
      <c r="AF3" s="196"/>
      <c r="AG3" s="196"/>
      <c r="AH3" s="196"/>
      <c r="AI3" s="196"/>
      <c r="AJ3" s="196"/>
      <c r="AK3" s="196"/>
      <c r="AL3" s="196"/>
      <c r="AM3" s="196"/>
      <c r="AN3" s="195" t="s">
        <v>13</v>
      </c>
      <c r="AO3" s="196"/>
      <c r="AP3" s="196"/>
      <c r="AQ3" s="196"/>
      <c r="AR3" s="197"/>
      <c r="AS3" s="236" t="s">
        <v>22</v>
      </c>
      <c r="AT3" s="234" t="s">
        <v>17</v>
      </c>
      <c r="AU3" s="236" t="s">
        <v>65</v>
      </c>
      <c r="AV3" s="236" t="s">
        <v>74</v>
      </c>
      <c r="AW3" s="234" t="s">
        <v>20</v>
      </c>
      <c r="AX3" s="236" t="s">
        <v>21</v>
      </c>
    </row>
    <row r="4" spans="2:50" ht="49.15" customHeight="1" thickBot="1" x14ac:dyDescent="0.3">
      <c r="B4" s="194" t="s">
        <v>35</v>
      </c>
      <c r="C4" s="194" t="s">
        <v>37</v>
      </c>
      <c r="D4" s="194" t="s">
        <v>23</v>
      </c>
      <c r="E4" s="194" t="s">
        <v>25</v>
      </c>
      <c r="F4" s="194" t="s">
        <v>5</v>
      </c>
      <c r="G4" s="194" t="s">
        <v>76</v>
      </c>
      <c r="H4" s="194" t="s">
        <v>6</v>
      </c>
      <c r="I4" s="194" t="s">
        <v>26</v>
      </c>
      <c r="J4" s="194" t="s">
        <v>27</v>
      </c>
      <c r="K4" s="194" t="s">
        <v>29</v>
      </c>
      <c r="L4" s="194" t="s">
        <v>28</v>
      </c>
      <c r="M4" s="194" t="s">
        <v>0</v>
      </c>
      <c r="N4" s="194" t="s">
        <v>58</v>
      </c>
      <c r="O4" s="194" t="s">
        <v>1</v>
      </c>
      <c r="P4" s="194" t="s">
        <v>2</v>
      </c>
      <c r="Q4" s="194" t="s">
        <v>3</v>
      </c>
      <c r="R4" s="194" t="s">
        <v>4</v>
      </c>
      <c r="S4" s="194" t="s">
        <v>54</v>
      </c>
      <c r="T4" s="194" t="s">
        <v>68</v>
      </c>
      <c r="U4" s="194" t="s">
        <v>67</v>
      </c>
      <c r="V4" s="194" t="s">
        <v>53</v>
      </c>
      <c r="W4" s="194" t="s">
        <v>19</v>
      </c>
      <c r="X4" s="194" t="s">
        <v>31</v>
      </c>
      <c r="Y4" s="194" t="s">
        <v>8</v>
      </c>
      <c r="Z4" s="194" t="s">
        <v>32</v>
      </c>
      <c r="AA4" s="194" t="s">
        <v>48</v>
      </c>
      <c r="AB4" s="194" t="s">
        <v>9</v>
      </c>
      <c r="AC4" s="194" t="s">
        <v>51</v>
      </c>
      <c r="AD4" s="194" t="s">
        <v>7</v>
      </c>
      <c r="AE4" s="194" t="s">
        <v>31</v>
      </c>
      <c r="AF4" s="194" t="s">
        <v>8</v>
      </c>
      <c r="AG4" s="194" t="s">
        <v>10</v>
      </c>
      <c r="AH4" s="194" t="s">
        <v>48</v>
      </c>
      <c r="AI4" s="194" t="s">
        <v>9</v>
      </c>
      <c r="AJ4" s="194" t="s">
        <v>66</v>
      </c>
      <c r="AK4" s="194" t="s">
        <v>52</v>
      </c>
      <c r="AL4" s="194" t="s">
        <v>7</v>
      </c>
      <c r="AM4" s="194" t="s">
        <v>69</v>
      </c>
      <c r="AN4" s="194" t="s">
        <v>25</v>
      </c>
      <c r="AO4" s="194" t="s">
        <v>46</v>
      </c>
      <c r="AP4" s="194" t="s">
        <v>45</v>
      </c>
      <c r="AQ4" s="194" t="s">
        <v>73</v>
      </c>
      <c r="AR4" s="194" t="s">
        <v>34</v>
      </c>
      <c r="AS4" s="237"/>
      <c r="AT4" s="277"/>
      <c r="AU4" s="237"/>
      <c r="AV4" s="237"/>
      <c r="AW4" s="277"/>
      <c r="AX4" s="237"/>
    </row>
    <row r="5" spans="2:50" s="32" customFormat="1" ht="44.25" customHeight="1" x14ac:dyDescent="0.25">
      <c r="B5" s="37">
        <v>1</v>
      </c>
      <c r="C5" s="271">
        <v>10154</v>
      </c>
      <c r="D5" s="271">
        <v>10154</v>
      </c>
      <c r="E5" s="113" t="s">
        <v>25</v>
      </c>
      <c r="F5" s="272" t="s">
        <v>205</v>
      </c>
      <c r="G5" s="39" t="s">
        <v>238</v>
      </c>
      <c r="H5" s="114" t="s">
        <v>210</v>
      </c>
      <c r="I5" s="115">
        <v>45735</v>
      </c>
      <c r="J5" s="40"/>
      <c r="K5" s="40">
        <v>46172</v>
      </c>
      <c r="L5" s="40" t="str">
        <f>DATEDIF(I5,K5,"y")&amp;" years,"&amp;DATEDIF(I5,K5,"ym")&amp;" months"</f>
        <v>1 years,2 months</v>
      </c>
      <c r="M5" s="41">
        <f>VLOOKUP(C5,[1]worker!$B$2:$AL$88,37,0)</f>
        <v>25</v>
      </c>
      <c r="N5" s="41">
        <v>0</v>
      </c>
      <c r="O5" s="41">
        <f>VLOOKUP(C5,'[1]work-sAl'!$B$73:$P$113,15,0)</f>
        <v>2</v>
      </c>
      <c r="P5" s="41">
        <v>0</v>
      </c>
      <c r="Q5" s="41">
        <v>0</v>
      </c>
      <c r="R5" s="42">
        <f>SUM(M5:Q5)</f>
        <v>27</v>
      </c>
      <c r="S5" s="41">
        <f>VLOOKUP(C5,[1]worker!$B$2:$AO$88,40,0)</f>
        <v>55</v>
      </c>
      <c r="T5" s="42">
        <f>IF(S5&lt;=50,S5,IF(S5&gt;=50,50,))</f>
        <v>50</v>
      </c>
      <c r="U5" s="42">
        <f>SUM(S5-T5)</f>
        <v>5</v>
      </c>
      <c r="V5" s="42">
        <f>T5/2</f>
        <v>25</v>
      </c>
      <c r="W5" s="41">
        <v>455</v>
      </c>
      <c r="X5" s="43">
        <f>AD5*50%</f>
        <v>6142.5</v>
      </c>
      <c r="Y5" s="43">
        <f>AD5*20%</f>
        <v>2457</v>
      </c>
      <c r="Z5" s="43">
        <f>AD5*10%</f>
        <v>1228.5</v>
      </c>
      <c r="AA5" s="43">
        <f>AD5*10%</f>
        <v>1228.5</v>
      </c>
      <c r="AB5" s="43">
        <f>AD5*10%</f>
        <v>1228.5</v>
      </c>
      <c r="AC5" s="44">
        <f>W5/8</f>
        <v>56.875</v>
      </c>
      <c r="AD5" s="112">
        <f>W5*27</f>
        <v>12285</v>
      </c>
      <c r="AE5" s="38">
        <f>+X5/27*R5</f>
        <v>6142.5</v>
      </c>
      <c r="AF5" s="38">
        <f>+Y5/27*R5</f>
        <v>2457</v>
      </c>
      <c r="AG5" s="38">
        <f>+Z5/27*R5</f>
        <v>1228.5</v>
      </c>
      <c r="AH5" s="38">
        <f>+AA5/27*R5</f>
        <v>1228.5</v>
      </c>
      <c r="AI5" s="38">
        <f>+AB5/27*R5</f>
        <v>1228.5</v>
      </c>
      <c r="AJ5" s="43">
        <f>SUM(U5*AC5)</f>
        <v>284.375</v>
      </c>
      <c r="AK5" s="43">
        <f>SUM(T5*AC5)</f>
        <v>2843.75</v>
      </c>
      <c r="AL5" s="275">
        <f>SUM(AE5:AK5)</f>
        <v>15413.125</v>
      </c>
      <c r="AM5" s="43">
        <v>0</v>
      </c>
      <c r="AN5" s="43">
        <v>1500</v>
      </c>
      <c r="AO5" s="43">
        <v>0</v>
      </c>
      <c r="AP5" s="43">
        <v>2000</v>
      </c>
      <c r="AQ5" s="43">
        <v>0</v>
      </c>
      <c r="AR5" s="43">
        <f>SUM(AN5:AQ5)</f>
        <v>3500</v>
      </c>
      <c r="AS5" s="43">
        <f>+AL5-AR5</f>
        <v>11913.125</v>
      </c>
      <c r="AT5" s="45"/>
      <c r="AU5" s="43">
        <v>7500</v>
      </c>
      <c r="AV5" s="43">
        <v>14000</v>
      </c>
      <c r="AW5" s="43">
        <v>14000</v>
      </c>
      <c r="AX5" s="46">
        <v>19500</v>
      </c>
    </row>
    <row r="6" spans="2:50" s="32" customFormat="1" ht="39" customHeight="1" x14ac:dyDescent="0.25">
      <c r="B6" s="124">
        <v>2</v>
      </c>
      <c r="C6" s="35">
        <v>10143</v>
      </c>
      <c r="D6" s="35">
        <v>10143</v>
      </c>
      <c r="E6" s="34" t="s">
        <v>25</v>
      </c>
      <c r="F6" s="120" t="s">
        <v>208</v>
      </c>
      <c r="G6" s="6" t="s">
        <v>238</v>
      </c>
      <c r="H6" s="110" t="s">
        <v>211</v>
      </c>
      <c r="I6" s="116">
        <v>45677</v>
      </c>
      <c r="J6" s="5"/>
      <c r="K6" s="5">
        <v>46172</v>
      </c>
      <c r="L6" s="5" t="str">
        <f>DATEDIF(I6,K6,"y")&amp;" years,"&amp;DATEDIF(I6,K6,"ym")&amp;" months"</f>
        <v>1 years,4 months</v>
      </c>
      <c r="M6" s="1">
        <f>VLOOKUP(C6,[1]worker!$B$2:$AL$88,37,0)</f>
        <v>26</v>
      </c>
      <c r="N6" s="1">
        <v>0</v>
      </c>
      <c r="O6" s="1">
        <f>VLOOKUP(C6,'[1]work-sAl'!$B$73:$P$113,15,0)</f>
        <v>1</v>
      </c>
      <c r="P6" s="1">
        <v>0</v>
      </c>
      <c r="Q6" s="1">
        <v>0</v>
      </c>
      <c r="R6" s="2">
        <f>SUM(M6:Q6)</f>
        <v>27</v>
      </c>
      <c r="S6" s="1">
        <f>VLOOKUP(C6,[1]worker!$B$2:$AO$88,40,0)</f>
        <v>88</v>
      </c>
      <c r="T6" s="2">
        <f>IF(S6&lt;=50,S6,IF(S6&gt;=50,50,))</f>
        <v>50</v>
      </c>
      <c r="U6" s="2">
        <f>SUM(S6-T6)</f>
        <v>38</v>
      </c>
      <c r="V6" s="2">
        <f>T6/2</f>
        <v>25</v>
      </c>
      <c r="W6" s="1">
        <v>475</v>
      </c>
      <c r="X6" s="3">
        <f>AD6*50%</f>
        <v>6412.5</v>
      </c>
      <c r="Y6" s="3">
        <f>AD6*20%</f>
        <v>2565</v>
      </c>
      <c r="Z6" s="3">
        <f>AD6*10%</f>
        <v>1282.5</v>
      </c>
      <c r="AA6" s="3">
        <f>AD6*10%</f>
        <v>1282.5</v>
      </c>
      <c r="AB6" s="3">
        <f>AD6*10%</f>
        <v>1282.5</v>
      </c>
      <c r="AC6" s="7">
        <f>W6/8</f>
        <v>59.375</v>
      </c>
      <c r="AD6" s="55">
        <f t="shared" ref="AD6:AD8" si="0">W6*27</f>
        <v>12825</v>
      </c>
      <c r="AE6" s="4">
        <f t="shared" ref="AE6:AE8" si="1">+X6/27*R6</f>
        <v>6412.5</v>
      </c>
      <c r="AF6" s="4">
        <f t="shared" ref="AF6:AF8" si="2">+Y6/27*R6</f>
        <v>2565</v>
      </c>
      <c r="AG6" s="4">
        <f t="shared" ref="AG6:AG8" si="3">+Z6/27*R6</f>
        <v>1282.5</v>
      </c>
      <c r="AH6" s="4">
        <f t="shared" ref="AH6:AH8" si="4">+AA6/27*R6</f>
        <v>1282.5</v>
      </c>
      <c r="AI6" s="4">
        <f t="shared" ref="AI6:AI8" si="5">+AB6/27*R6</f>
        <v>1282.5</v>
      </c>
      <c r="AJ6" s="3">
        <f t="shared" ref="AJ6:AJ8" si="6">SUM(U6*AC6)</f>
        <v>2256.25</v>
      </c>
      <c r="AK6" s="3">
        <f t="shared" ref="AK6:AK8" si="7">SUM(T6*AC6)</f>
        <v>2968.75</v>
      </c>
      <c r="AL6" s="276">
        <f>SUM(AE6:AK6)</f>
        <v>18050</v>
      </c>
      <c r="AM6" s="3">
        <v>0</v>
      </c>
      <c r="AN6" s="3">
        <v>1500</v>
      </c>
      <c r="AO6" s="3">
        <v>0</v>
      </c>
      <c r="AP6" s="3">
        <v>0</v>
      </c>
      <c r="AQ6" s="3">
        <v>0</v>
      </c>
      <c r="AR6" s="3">
        <f>SUM(AN6:AQ6)</f>
        <v>1500</v>
      </c>
      <c r="AS6" s="3">
        <f>+AL6-AR6</f>
        <v>16550</v>
      </c>
      <c r="AT6" s="3"/>
      <c r="AU6" s="3"/>
      <c r="AV6" s="3">
        <v>0</v>
      </c>
      <c r="AW6" s="3">
        <f>AU6+AV6</f>
        <v>0</v>
      </c>
      <c r="AX6" s="13">
        <f>AW6-AP6</f>
        <v>0</v>
      </c>
    </row>
    <row r="7" spans="2:50" s="32" customFormat="1" ht="44.25" customHeight="1" x14ac:dyDescent="0.25">
      <c r="B7" s="124">
        <v>3</v>
      </c>
      <c r="C7" s="35">
        <v>10157</v>
      </c>
      <c r="D7" s="35">
        <v>10157</v>
      </c>
      <c r="E7" s="34" t="s">
        <v>25</v>
      </c>
      <c r="F7" s="120" t="s">
        <v>209</v>
      </c>
      <c r="G7" s="6" t="s">
        <v>238</v>
      </c>
      <c r="H7" s="110" t="s">
        <v>211</v>
      </c>
      <c r="I7" s="116">
        <v>45710</v>
      </c>
      <c r="J7" s="5"/>
      <c r="K7" s="5">
        <v>46172</v>
      </c>
      <c r="L7" s="5" t="str">
        <f>DATEDIF(I7,K7,"y")&amp;" years,"&amp;DATEDIF(I7,K7,"ym")&amp;" months"</f>
        <v>1 years,3 months</v>
      </c>
      <c r="M7" s="1">
        <f>VLOOKUP(C7,[1]worker!$B$2:$AL$88,37,0)</f>
        <v>27</v>
      </c>
      <c r="N7" s="1">
        <v>0</v>
      </c>
      <c r="O7" s="1">
        <f>VLOOKUP(C7,'[1]work-sAl'!$B$73:$P$113,15,0)</f>
        <v>0</v>
      </c>
      <c r="P7" s="1">
        <v>0</v>
      </c>
      <c r="Q7" s="1">
        <v>0</v>
      </c>
      <c r="R7" s="2">
        <f>SUM(M7:Q7)</f>
        <v>27</v>
      </c>
      <c r="S7" s="1">
        <f>VLOOKUP(C7,[1]worker!$B$2:$AO$88,40,0)</f>
        <v>92.5</v>
      </c>
      <c r="T7" s="2">
        <f>IF(S7&lt;=50,S7,IF(S7&gt;=50,50,))</f>
        <v>50</v>
      </c>
      <c r="U7" s="2">
        <f>SUM(S7-T7)</f>
        <v>42.5</v>
      </c>
      <c r="V7" s="2">
        <f>T7/2</f>
        <v>25</v>
      </c>
      <c r="W7" s="1">
        <v>475</v>
      </c>
      <c r="X7" s="3">
        <f>AD7*50%</f>
        <v>6412.5</v>
      </c>
      <c r="Y7" s="3">
        <f>AD7*20%</f>
        <v>2565</v>
      </c>
      <c r="Z7" s="3">
        <f>AD7*10%</f>
        <v>1282.5</v>
      </c>
      <c r="AA7" s="3">
        <f>AD7*10%</f>
        <v>1282.5</v>
      </c>
      <c r="AB7" s="3">
        <f>AD7*10%</f>
        <v>1282.5</v>
      </c>
      <c r="AC7" s="7">
        <f>W7/8</f>
        <v>59.375</v>
      </c>
      <c r="AD7" s="55">
        <f t="shared" si="0"/>
        <v>12825</v>
      </c>
      <c r="AE7" s="4">
        <f t="shared" si="1"/>
        <v>6412.5</v>
      </c>
      <c r="AF7" s="4">
        <f t="shared" si="2"/>
        <v>2565</v>
      </c>
      <c r="AG7" s="4">
        <f t="shared" si="3"/>
        <v>1282.5</v>
      </c>
      <c r="AH7" s="4">
        <f t="shared" si="4"/>
        <v>1282.5</v>
      </c>
      <c r="AI7" s="4">
        <f t="shared" si="5"/>
        <v>1282.5</v>
      </c>
      <c r="AJ7" s="3">
        <f t="shared" si="6"/>
        <v>2523.4375</v>
      </c>
      <c r="AK7" s="3">
        <f t="shared" si="7"/>
        <v>2968.75</v>
      </c>
      <c r="AL7" s="3">
        <f>SUM(AE7:AK7)</f>
        <v>18317.1875</v>
      </c>
      <c r="AM7" s="3">
        <v>0</v>
      </c>
      <c r="AN7" s="3">
        <v>1500</v>
      </c>
      <c r="AO7" s="3">
        <v>0</v>
      </c>
      <c r="AP7" s="3">
        <v>500</v>
      </c>
      <c r="AQ7" s="3">
        <v>0</v>
      </c>
      <c r="AR7" s="3">
        <f>SUM(AN7:AQ7)</f>
        <v>2000</v>
      </c>
      <c r="AS7" s="3">
        <f>+AL7-AR7</f>
        <v>16317.1875</v>
      </c>
      <c r="AT7" s="3"/>
      <c r="AU7" s="3"/>
      <c r="AV7" s="3">
        <v>9000</v>
      </c>
      <c r="AW7" s="3">
        <v>9500</v>
      </c>
      <c r="AX7" s="13">
        <f>AW7-AP7</f>
        <v>9000</v>
      </c>
    </row>
    <row r="8" spans="2:50" s="32" customFormat="1" ht="44.25" customHeight="1" thickBot="1" x14ac:dyDescent="0.3">
      <c r="B8" s="125">
        <v>4</v>
      </c>
      <c r="C8" s="273">
        <v>10179</v>
      </c>
      <c r="D8" s="273">
        <v>10179</v>
      </c>
      <c r="E8" s="117" t="s">
        <v>25</v>
      </c>
      <c r="F8" s="274" t="s">
        <v>219</v>
      </c>
      <c r="G8" s="126" t="s">
        <v>238</v>
      </c>
      <c r="H8" s="118" t="s">
        <v>211</v>
      </c>
      <c r="I8" s="119">
        <v>45710</v>
      </c>
      <c r="J8" s="47"/>
      <c r="K8" s="47">
        <v>46172</v>
      </c>
      <c r="L8" s="47" t="str">
        <f>DATEDIF(I8,K8,"y")&amp;" years,"&amp;DATEDIF(I8,K8,"ym")&amp;" months"</f>
        <v>1 years,3 months</v>
      </c>
      <c r="M8" s="171">
        <f>VLOOKUP(C8,[1]worker!$B$2:$AL$88,37,0)</f>
        <v>27</v>
      </c>
      <c r="N8" s="171">
        <v>0</v>
      </c>
      <c r="O8" s="171">
        <f>VLOOKUP(C8,'[1]work-sAl'!$B$73:$P$113,15,0)</f>
        <v>0</v>
      </c>
      <c r="P8" s="171">
        <v>0</v>
      </c>
      <c r="Q8" s="171">
        <v>0</v>
      </c>
      <c r="R8" s="172">
        <f>SUM(M8:Q8)</f>
        <v>27</v>
      </c>
      <c r="S8" s="171">
        <f>VLOOKUP(C8,[1]worker!$B$2:$AO$88,40,0)</f>
        <v>90.5</v>
      </c>
      <c r="T8" s="172">
        <f>IF(S8&lt;=50,S8,IF(S8&gt;=50,50,))</f>
        <v>50</v>
      </c>
      <c r="U8" s="172">
        <f>SUM(S8-T8)</f>
        <v>40.5</v>
      </c>
      <c r="V8" s="172">
        <f>T8/2</f>
        <v>25</v>
      </c>
      <c r="W8" s="171">
        <v>425</v>
      </c>
      <c r="X8" s="48">
        <f>AD8*50%</f>
        <v>5737.5</v>
      </c>
      <c r="Y8" s="48">
        <f>AD8*20%</f>
        <v>2295</v>
      </c>
      <c r="Z8" s="48">
        <f>AD8*10%</f>
        <v>1147.5</v>
      </c>
      <c r="AA8" s="48">
        <f>AD8*10%</f>
        <v>1147.5</v>
      </c>
      <c r="AB8" s="48">
        <f>AD8*10%</f>
        <v>1147.5</v>
      </c>
      <c r="AC8" s="173">
        <f>W8/8</f>
        <v>53.125</v>
      </c>
      <c r="AD8" s="174">
        <f t="shared" si="0"/>
        <v>11475</v>
      </c>
      <c r="AE8" s="175">
        <f t="shared" si="1"/>
        <v>5737.5</v>
      </c>
      <c r="AF8" s="175">
        <f t="shared" si="2"/>
        <v>2295</v>
      </c>
      <c r="AG8" s="175">
        <f t="shared" si="3"/>
        <v>1147.5</v>
      </c>
      <c r="AH8" s="175">
        <f t="shared" si="4"/>
        <v>1147.5</v>
      </c>
      <c r="AI8" s="175">
        <f t="shared" si="5"/>
        <v>1147.5</v>
      </c>
      <c r="AJ8" s="48">
        <f t="shared" si="6"/>
        <v>2151.5625</v>
      </c>
      <c r="AK8" s="48">
        <f t="shared" si="7"/>
        <v>2656.25</v>
      </c>
      <c r="AL8" s="48">
        <f>SUM(AE8:AK8)</f>
        <v>16282.8125</v>
      </c>
      <c r="AM8" s="48">
        <v>0</v>
      </c>
      <c r="AN8" s="48">
        <v>1500</v>
      </c>
      <c r="AO8" s="48">
        <v>0</v>
      </c>
      <c r="AP8" s="48">
        <v>0</v>
      </c>
      <c r="AQ8" s="48">
        <v>0</v>
      </c>
      <c r="AR8" s="48">
        <f>SUM(AN8:AQ8)</f>
        <v>1500</v>
      </c>
      <c r="AS8" s="48">
        <f>+AL8-AR8</f>
        <v>14782.8125</v>
      </c>
      <c r="AT8" s="48"/>
      <c r="AU8" s="48"/>
      <c r="AV8" s="48">
        <v>0</v>
      </c>
      <c r="AW8" s="48">
        <f>AU8+AV8</f>
        <v>0</v>
      </c>
      <c r="AX8" s="49">
        <f>AW8-AP8</f>
        <v>0</v>
      </c>
    </row>
    <row r="9" spans="2:50" ht="62.25" customHeight="1" thickBot="1" x14ac:dyDescent="0.3">
      <c r="B9" s="239" t="s">
        <v>24</v>
      </c>
      <c r="C9" s="238"/>
      <c r="D9" s="238"/>
      <c r="E9" s="238"/>
      <c r="F9" s="238"/>
      <c r="G9" s="238"/>
      <c r="H9" s="238"/>
      <c r="I9" s="238"/>
      <c r="J9" s="238"/>
      <c r="K9" s="238"/>
      <c r="L9" s="240"/>
      <c r="M9" s="123">
        <f t="shared" ref="M9:AN9" si="8">SUM(M5:M8)</f>
        <v>105</v>
      </c>
      <c r="N9" s="123">
        <f t="shared" si="8"/>
        <v>0</v>
      </c>
      <c r="O9" s="123">
        <f t="shared" si="8"/>
        <v>3</v>
      </c>
      <c r="P9" s="123">
        <f t="shared" si="8"/>
        <v>0</v>
      </c>
      <c r="Q9" s="123">
        <f t="shared" si="8"/>
        <v>0</v>
      </c>
      <c r="R9" s="123">
        <f t="shared" si="8"/>
        <v>108</v>
      </c>
      <c r="S9" s="123">
        <f t="shared" si="8"/>
        <v>326</v>
      </c>
      <c r="T9" s="123">
        <f t="shared" si="8"/>
        <v>200</v>
      </c>
      <c r="U9" s="123">
        <f t="shared" si="8"/>
        <v>126</v>
      </c>
      <c r="V9" s="123">
        <f t="shared" si="8"/>
        <v>100</v>
      </c>
      <c r="W9" s="123">
        <f t="shared" si="8"/>
        <v>1830</v>
      </c>
      <c r="X9" s="123">
        <f t="shared" si="8"/>
        <v>24705</v>
      </c>
      <c r="Y9" s="123">
        <f t="shared" si="8"/>
        <v>9882</v>
      </c>
      <c r="Z9" s="123">
        <f t="shared" si="8"/>
        <v>4941</v>
      </c>
      <c r="AA9" s="123">
        <f t="shared" si="8"/>
        <v>4941</v>
      </c>
      <c r="AB9" s="123">
        <f t="shared" si="8"/>
        <v>4941</v>
      </c>
      <c r="AC9" s="123">
        <f t="shared" si="8"/>
        <v>228.75</v>
      </c>
      <c r="AD9" s="123">
        <f t="shared" si="8"/>
        <v>49410</v>
      </c>
      <c r="AE9" s="123">
        <f t="shared" si="8"/>
        <v>24705</v>
      </c>
      <c r="AF9" s="123">
        <f t="shared" si="8"/>
        <v>9882</v>
      </c>
      <c r="AG9" s="123">
        <f t="shared" si="8"/>
        <v>4941</v>
      </c>
      <c r="AH9" s="123">
        <f t="shared" si="8"/>
        <v>4941</v>
      </c>
      <c r="AI9" s="123">
        <f t="shared" si="8"/>
        <v>4941</v>
      </c>
      <c r="AJ9" s="123">
        <f t="shared" si="8"/>
        <v>7215.625</v>
      </c>
      <c r="AK9" s="123">
        <f t="shared" si="8"/>
        <v>11437.5</v>
      </c>
      <c r="AL9" s="134">
        <f t="shared" si="8"/>
        <v>68063.125</v>
      </c>
      <c r="AM9" s="123">
        <f t="shared" si="8"/>
        <v>0</v>
      </c>
      <c r="AN9" s="123">
        <f t="shared" si="8"/>
        <v>6000</v>
      </c>
      <c r="AO9" s="123">
        <v>0</v>
      </c>
      <c r="AP9" s="123">
        <f>SUM(AP5:AP8)</f>
        <v>2500</v>
      </c>
      <c r="AQ9" s="123">
        <f>SUM(AQ5:AQ8)</f>
        <v>0</v>
      </c>
      <c r="AR9" s="123">
        <f>SUM(AR5:AR8)</f>
        <v>8500</v>
      </c>
      <c r="AS9" s="135">
        <f>SUM(AS5:AS8)</f>
        <v>59563.125</v>
      </c>
      <c r="AT9" s="123"/>
      <c r="AU9" s="123">
        <f>SUM(AU5:AU8)</f>
        <v>7500</v>
      </c>
      <c r="AV9" s="123">
        <f>SUM(AV5:AV8)</f>
        <v>23000</v>
      </c>
      <c r="AW9" s="123">
        <f>SUM(AW5:AW8)</f>
        <v>23500</v>
      </c>
      <c r="AX9" s="123">
        <f>SUM(AX5:AX8)</f>
        <v>28500</v>
      </c>
    </row>
    <row r="10" spans="2:50" s="32" customFormat="1" ht="99" customHeight="1" thickBot="1" x14ac:dyDescent="0.3">
      <c r="B10" s="198" t="s">
        <v>60</v>
      </c>
      <c r="C10" s="200"/>
      <c r="D10" s="200"/>
      <c r="E10" s="200"/>
      <c r="F10" s="202"/>
      <c r="G10" s="169"/>
      <c r="H10" s="195" t="s">
        <v>61</v>
      </c>
      <c r="I10" s="196"/>
      <c r="J10" s="196"/>
      <c r="K10" s="196"/>
      <c r="L10" s="196"/>
      <c r="M10" s="196"/>
      <c r="N10" s="196"/>
      <c r="O10" s="196"/>
      <c r="P10" s="196"/>
      <c r="Q10" s="196"/>
      <c r="R10" s="197"/>
      <c r="S10" s="241"/>
      <c r="T10" s="242"/>
      <c r="U10" s="242"/>
      <c r="V10" s="242"/>
      <c r="W10" s="242"/>
      <c r="X10" s="242"/>
      <c r="Y10" s="242" t="s">
        <v>62</v>
      </c>
      <c r="Z10" s="242"/>
      <c r="AA10" s="242"/>
      <c r="AB10" s="242"/>
      <c r="AC10" s="242"/>
      <c r="AD10" s="242"/>
      <c r="AE10" s="242"/>
      <c r="AF10" s="243"/>
      <c r="AG10" s="244" t="s">
        <v>63</v>
      </c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6"/>
    </row>
    <row r="11" spans="2:50" s="32" customFormat="1" ht="58.5" customHeight="1" x14ac:dyDescent="0.2">
      <c r="B11" s="10"/>
      <c r="C11" s="10"/>
      <c r="D11" s="10"/>
      <c r="E11" s="10"/>
      <c r="F11" s="10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25" spans="23:23" x14ac:dyDescent="0.25">
      <c r="W25" s="14">
        <f>455*26</f>
        <v>11830</v>
      </c>
    </row>
  </sheetData>
  <mergeCells count="18">
    <mergeCell ref="B1:AX1"/>
    <mergeCell ref="B2:AX2"/>
    <mergeCell ref="B3:F3"/>
    <mergeCell ref="I3:W3"/>
    <mergeCell ref="X3:AD3"/>
    <mergeCell ref="AE3:AM3"/>
    <mergeCell ref="AN3:AR3"/>
    <mergeCell ref="AS3:AS4"/>
    <mergeCell ref="AT3:AT4"/>
    <mergeCell ref="AU3:AU4"/>
    <mergeCell ref="AV3:AV4"/>
    <mergeCell ref="AW3:AW4"/>
    <mergeCell ref="AX3:AX4"/>
    <mergeCell ref="B9:L9"/>
    <mergeCell ref="B10:F10"/>
    <mergeCell ref="H10:R10"/>
    <mergeCell ref="S10:AF10"/>
    <mergeCell ref="AG10:AX10"/>
  </mergeCells>
  <conditionalFormatting sqref="F5:F8 H5:H8">
    <cfRule type="cellIs" dxfId="6" priority="1" operator="equal">
      <formula>"sunday"</formula>
    </cfRule>
  </conditionalFormatting>
  <printOptions horizontalCentered="1"/>
  <pageMargins left="0.16" right="0.16" top="0.25" bottom="0.25" header="0.25" footer="0.25"/>
  <pageSetup paperSize="9" scale="2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FA47-57E5-4260-916A-69E1A96D0487}">
  <dimension ref="B1:AX17"/>
  <sheetViews>
    <sheetView topLeftCell="B1" workbookViewId="0">
      <pane xSplit="5" ySplit="4" topLeftCell="AB12" activePane="bottomRight" state="frozen"/>
      <selection activeCell="B1" sqref="B1"/>
      <selection pane="topRight" activeCell="G1" sqref="G1"/>
      <selection pane="bottomLeft" activeCell="B5" sqref="B5"/>
      <selection pane="bottomRight" activeCell="AH15" sqref="AH15"/>
    </sheetView>
  </sheetViews>
  <sheetFormatPr defaultRowHeight="15" x14ac:dyDescent="0.25"/>
  <cols>
    <col min="1" max="1" width="9.140625" style="53"/>
    <col min="2" max="2" width="5.5703125" style="53" bestFit="1" customWidth="1"/>
    <col min="3" max="3" width="6" style="53" bestFit="1" customWidth="1"/>
    <col min="4" max="4" width="9.28515625" style="57" bestFit="1" customWidth="1"/>
    <col min="5" max="5" width="13.85546875" style="53" customWidth="1"/>
    <col min="6" max="6" width="28.7109375" style="53" bestFit="1" customWidth="1"/>
    <col min="7" max="7" width="12.42578125" style="53" customWidth="1"/>
    <col min="8" max="8" width="21" style="53" customWidth="1"/>
    <col min="9" max="9" width="10.140625" style="53" customWidth="1"/>
    <col min="10" max="10" width="10" style="53" customWidth="1"/>
    <col min="11" max="11" width="10.85546875" style="53" customWidth="1"/>
    <col min="12" max="12" width="17.85546875" style="53" customWidth="1"/>
    <col min="13" max="13" width="13.5703125" style="53" bestFit="1" customWidth="1"/>
    <col min="14" max="14" width="6.140625" style="53" bestFit="1" customWidth="1"/>
    <col min="15" max="17" width="5.140625" style="53" bestFit="1" customWidth="1"/>
    <col min="18" max="18" width="7.42578125" style="53" bestFit="1" customWidth="1"/>
    <col min="19" max="19" width="8.7109375" style="53" bestFit="1" customWidth="1"/>
    <col min="20" max="20" width="8.42578125" style="53" bestFit="1" customWidth="1"/>
    <col min="21" max="21" width="7.28515625" style="53" bestFit="1" customWidth="1"/>
    <col min="22" max="22" width="7.85546875" style="53" bestFit="1" customWidth="1"/>
    <col min="23" max="23" width="9.5703125" style="53" bestFit="1" customWidth="1"/>
    <col min="24" max="25" width="10.7109375" style="53" bestFit="1" customWidth="1"/>
    <col min="26" max="28" width="9.5703125" style="53" bestFit="1" customWidth="1"/>
    <col min="29" max="29" width="8.42578125" style="53" bestFit="1" customWidth="1"/>
    <col min="30" max="30" width="10.7109375" style="57" bestFit="1" customWidth="1"/>
    <col min="31" max="31" width="10.7109375" style="53" bestFit="1" customWidth="1"/>
    <col min="32" max="37" width="9.5703125" style="53" bestFit="1" customWidth="1"/>
    <col min="38" max="38" width="9" style="131" bestFit="1" customWidth="1"/>
    <col min="39" max="39" width="8.42578125" style="53" bestFit="1" customWidth="1"/>
    <col min="40" max="40" width="6.7109375" style="53" bestFit="1" customWidth="1"/>
    <col min="41" max="41" width="5.140625" style="53" bestFit="1" customWidth="1"/>
    <col min="42" max="42" width="9.28515625" style="53" bestFit="1" customWidth="1"/>
    <col min="43" max="43" width="8.7109375" style="53" bestFit="1" customWidth="1"/>
    <col min="44" max="44" width="8.5703125" style="53" bestFit="1" customWidth="1"/>
    <col min="45" max="45" width="11.7109375" style="53" bestFit="1" customWidth="1"/>
    <col min="46" max="46" width="10" style="53" bestFit="1" customWidth="1"/>
    <col min="47" max="47" width="23.85546875" style="53" bestFit="1" customWidth="1"/>
    <col min="48" max="48" width="30.140625" style="53" bestFit="1" customWidth="1"/>
    <col min="49" max="49" width="18.140625" style="53" bestFit="1" customWidth="1"/>
    <col min="50" max="50" width="17.140625" style="53" bestFit="1" customWidth="1"/>
    <col min="51" max="16384" width="9.140625" style="53"/>
  </cols>
  <sheetData>
    <row r="1" spans="2:50" ht="21" thickBot="1" x14ac:dyDescent="0.3">
      <c r="B1" s="250" t="s">
        <v>228</v>
      </c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K1" s="251"/>
      <c r="AL1" s="251"/>
      <c r="AM1" s="251"/>
      <c r="AN1" s="251"/>
      <c r="AO1" s="251"/>
      <c r="AP1" s="251"/>
      <c r="AQ1" s="251"/>
      <c r="AR1" s="251"/>
      <c r="AS1" s="251"/>
      <c r="AT1" s="251"/>
      <c r="AU1" s="251"/>
      <c r="AV1" s="251"/>
      <c r="AW1" s="251"/>
      <c r="AX1" s="252"/>
    </row>
    <row r="2" spans="2:50" ht="21" thickBot="1" x14ac:dyDescent="0.3">
      <c r="B2" s="250" t="s">
        <v>307</v>
      </c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2"/>
    </row>
    <row r="3" spans="2:50" ht="15.75" thickBot="1" x14ac:dyDescent="0.3">
      <c r="B3" s="195" t="s">
        <v>18</v>
      </c>
      <c r="C3" s="196"/>
      <c r="D3" s="196"/>
      <c r="E3" s="196"/>
      <c r="F3" s="197"/>
      <c r="G3" s="31"/>
      <c r="H3" s="31">
        <v>26</v>
      </c>
      <c r="I3" s="195" t="s">
        <v>64</v>
      </c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7"/>
      <c r="X3" s="195" t="s">
        <v>56</v>
      </c>
      <c r="Y3" s="196"/>
      <c r="Z3" s="196"/>
      <c r="AA3" s="196"/>
      <c r="AB3" s="196"/>
      <c r="AC3" s="196"/>
      <c r="AD3" s="197"/>
      <c r="AE3" s="238" t="s">
        <v>12</v>
      </c>
      <c r="AF3" s="238"/>
      <c r="AG3" s="238"/>
      <c r="AH3" s="238"/>
      <c r="AI3" s="238"/>
      <c r="AJ3" s="238"/>
      <c r="AK3" s="238"/>
      <c r="AL3" s="238"/>
      <c r="AM3" s="238"/>
      <c r="AN3" s="195" t="s">
        <v>13</v>
      </c>
      <c r="AO3" s="196"/>
      <c r="AP3" s="196"/>
      <c r="AQ3" s="196"/>
      <c r="AR3" s="197"/>
      <c r="AS3" s="236" t="s">
        <v>22</v>
      </c>
      <c r="AT3" s="234" t="s">
        <v>17</v>
      </c>
      <c r="AU3" s="236" t="s">
        <v>65</v>
      </c>
      <c r="AV3" s="236" t="s">
        <v>74</v>
      </c>
      <c r="AW3" s="234" t="s">
        <v>20</v>
      </c>
      <c r="AX3" s="236" t="s">
        <v>21</v>
      </c>
    </row>
    <row r="4" spans="2:50" ht="29.25" thickBot="1" x14ac:dyDescent="0.3">
      <c r="B4" s="36" t="s">
        <v>35</v>
      </c>
      <c r="C4" s="36" t="s">
        <v>37</v>
      </c>
      <c r="D4" s="194" t="s">
        <v>23</v>
      </c>
      <c r="E4" s="36" t="s">
        <v>25</v>
      </c>
      <c r="F4" s="36" t="s">
        <v>5</v>
      </c>
      <c r="G4" s="36" t="s">
        <v>76</v>
      </c>
      <c r="H4" s="36" t="s">
        <v>6</v>
      </c>
      <c r="I4" s="36" t="s">
        <v>26</v>
      </c>
      <c r="J4" s="36" t="s">
        <v>27</v>
      </c>
      <c r="K4" s="36" t="s">
        <v>29</v>
      </c>
      <c r="L4" s="36" t="s">
        <v>28</v>
      </c>
      <c r="M4" s="36" t="s">
        <v>0</v>
      </c>
      <c r="N4" s="36" t="s">
        <v>58</v>
      </c>
      <c r="O4" s="36" t="s">
        <v>1</v>
      </c>
      <c r="P4" s="36" t="s">
        <v>2</v>
      </c>
      <c r="Q4" s="36" t="s">
        <v>3</v>
      </c>
      <c r="R4" s="36" t="s">
        <v>4</v>
      </c>
      <c r="S4" s="36" t="s">
        <v>54</v>
      </c>
      <c r="T4" s="36" t="s">
        <v>68</v>
      </c>
      <c r="U4" s="36" t="s">
        <v>67</v>
      </c>
      <c r="V4" s="36" t="s">
        <v>53</v>
      </c>
      <c r="W4" s="36" t="s">
        <v>19</v>
      </c>
      <c r="X4" s="36" t="s">
        <v>31</v>
      </c>
      <c r="Y4" s="36" t="s">
        <v>8</v>
      </c>
      <c r="Z4" s="36" t="s">
        <v>32</v>
      </c>
      <c r="AA4" s="36" t="s">
        <v>48</v>
      </c>
      <c r="AB4" s="36" t="s">
        <v>9</v>
      </c>
      <c r="AC4" s="36" t="s">
        <v>51</v>
      </c>
      <c r="AD4" s="51" t="s">
        <v>7</v>
      </c>
      <c r="AE4" s="36" t="s">
        <v>31</v>
      </c>
      <c r="AF4" s="36" t="s">
        <v>8</v>
      </c>
      <c r="AG4" s="36" t="s">
        <v>10</v>
      </c>
      <c r="AH4" s="36" t="s">
        <v>48</v>
      </c>
      <c r="AI4" s="36" t="s">
        <v>9</v>
      </c>
      <c r="AJ4" s="36" t="s">
        <v>66</v>
      </c>
      <c r="AK4" s="36" t="s">
        <v>52</v>
      </c>
      <c r="AL4" s="127" t="s">
        <v>7</v>
      </c>
      <c r="AM4" s="36" t="s">
        <v>69</v>
      </c>
      <c r="AN4" s="36" t="s">
        <v>25</v>
      </c>
      <c r="AO4" s="36" t="s">
        <v>46</v>
      </c>
      <c r="AP4" s="36" t="s">
        <v>45</v>
      </c>
      <c r="AQ4" s="36" t="s">
        <v>73</v>
      </c>
      <c r="AR4" s="36" t="s">
        <v>34</v>
      </c>
      <c r="AS4" s="237"/>
      <c r="AT4" s="235"/>
      <c r="AU4" s="237"/>
      <c r="AV4" s="237"/>
      <c r="AW4" s="235"/>
      <c r="AX4" s="237"/>
    </row>
    <row r="5" spans="2:50" s="56" customFormat="1" ht="33" customHeight="1" thickBot="1" x14ac:dyDescent="0.3">
      <c r="B5" s="4">
        <v>1</v>
      </c>
      <c r="C5" s="4"/>
      <c r="D5" s="4">
        <v>20279</v>
      </c>
      <c r="E5" s="6" t="s">
        <v>50</v>
      </c>
      <c r="F5" s="54" t="s">
        <v>215</v>
      </c>
      <c r="G5" s="6" t="s">
        <v>77</v>
      </c>
      <c r="H5" s="6" t="s">
        <v>231</v>
      </c>
      <c r="I5" s="5"/>
      <c r="J5" s="5"/>
      <c r="K5" s="5"/>
      <c r="L5" s="5" t="str">
        <f t="shared" ref="L5:L9" si="0">DATEDIF(I5,K5,"y")&amp;" years,"&amp;DATEDIF(I5,K5,"ym")&amp;" months"</f>
        <v>0 years,0 months</v>
      </c>
      <c r="M5" s="1">
        <v>27</v>
      </c>
      <c r="N5" s="1">
        <v>0</v>
      </c>
      <c r="O5" s="1">
        <v>0</v>
      </c>
      <c r="P5" s="1">
        <v>0</v>
      </c>
      <c r="Q5" s="1">
        <v>0</v>
      </c>
      <c r="R5" s="2">
        <f t="shared" ref="R5:R9" si="1">SUM(M5:Q5)</f>
        <v>27</v>
      </c>
      <c r="S5" s="1">
        <v>0</v>
      </c>
      <c r="T5" s="2">
        <f t="shared" ref="T5:T9" si="2">IF(S5&lt;=50,S5,IF(S5&gt;=50,50,))</f>
        <v>0</v>
      </c>
      <c r="U5" s="2">
        <f t="shared" ref="U5:U9" si="3">SUM(S5-T5)</f>
        <v>0</v>
      </c>
      <c r="V5" s="2">
        <f t="shared" ref="V5:V9" si="4">T5/2</f>
        <v>0</v>
      </c>
      <c r="W5" s="1">
        <v>0</v>
      </c>
      <c r="X5" s="3">
        <f t="shared" ref="X5:X9" si="5">AD5*50%</f>
        <v>27500</v>
      </c>
      <c r="Y5" s="3">
        <f t="shared" ref="Y5:Y9" si="6">AD5*20%</f>
        <v>11000</v>
      </c>
      <c r="Z5" s="3">
        <f t="shared" ref="Z5:Z9" si="7">AD5*10%</f>
        <v>5500</v>
      </c>
      <c r="AA5" s="3">
        <f t="shared" ref="AA5:AA9" si="8">AD5*10%</f>
        <v>5500</v>
      </c>
      <c r="AB5" s="3">
        <f t="shared" ref="AB5:AB9" si="9">AD5*10%</f>
        <v>5500</v>
      </c>
      <c r="AC5" s="7">
        <f t="shared" ref="AC5:AC9" si="10">W5/8</f>
        <v>0</v>
      </c>
      <c r="AD5" s="55">
        <v>55000</v>
      </c>
      <c r="AE5" s="4">
        <f>+X5/27*R5</f>
        <v>27500</v>
      </c>
      <c r="AF5" s="4">
        <f>+Y5/27*R5</f>
        <v>11000</v>
      </c>
      <c r="AG5" s="4">
        <f>+Z5/27*R5</f>
        <v>5500</v>
      </c>
      <c r="AH5" s="4">
        <f>+AA5/27*R5</f>
        <v>5500</v>
      </c>
      <c r="AI5" s="4">
        <f>+AB5/27*R5</f>
        <v>5500</v>
      </c>
      <c r="AJ5" s="3">
        <f t="shared" ref="AJ5" si="11">SUM(U5*AC5)</f>
        <v>0</v>
      </c>
      <c r="AK5" s="3">
        <f t="shared" ref="AK5" si="12">SUM(T5*AC5)</f>
        <v>0</v>
      </c>
      <c r="AL5" s="128">
        <f t="shared" ref="AL5:AL16" si="13">SUM(AE5:AK5)</f>
        <v>55000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f t="shared" ref="AR5:AR9" si="14">SUM(AN5:AQ5)</f>
        <v>0</v>
      </c>
      <c r="AS5" s="3">
        <f t="shared" ref="AS5:AS9" si="15">+AL5-AR5</f>
        <v>55000</v>
      </c>
      <c r="AT5" s="3"/>
      <c r="AU5" s="3">
        <v>0</v>
      </c>
      <c r="AV5" s="3">
        <v>0</v>
      </c>
      <c r="AW5" s="43">
        <f t="shared" ref="AW5:AW9" si="16">AU5+AV5</f>
        <v>0</v>
      </c>
      <c r="AX5" s="46">
        <f t="shared" ref="AX5:AX9" si="17">AW5-AP5</f>
        <v>0</v>
      </c>
    </row>
    <row r="6" spans="2:50" s="56" customFormat="1" ht="33" customHeight="1" thickBot="1" x14ac:dyDescent="0.3">
      <c r="B6" s="4">
        <v>2</v>
      </c>
      <c r="C6" s="4"/>
      <c r="D6" s="4">
        <v>20362</v>
      </c>
      <c r="E6" s="6" t="s">
        <v>50</v>
      </c>
      <c r="F6" s="54" t="s">
        <v>216</v>
      </c>
      <c r="G6" s="6" t="s">
        <v>77</v>
      </c>
      <c r="H6" s="9" t="s">
        <v>232</v>
      </c>
      <c r="I6" s="5"/>
      <c r="J6" s="5"/>
      <c r="K6" s="5"/>
      <c r="L6" s="5" t="str">
        <f t="shared" si="0"/>
        <v>0 years,0 months</v>
      </c>
      <c r="M6" s="1">
        <v>27</v>
      </c>
      <c r="N6" s="1">
        <v>0</v>
      </c>
      <c r="O6" s="1">
        <v>0</v>
      </c>
      <c r="P6" s="1">
        <v>0</v>
      </c>
      <c r="Q6" s="1">
        <v>0</v>
      </c>
      <c r="R6" s="2">
        <f t="shared" si="1"/>
        <v>27</v>
      </c>
      <c r="S6" s="1">
        <v>0</v>
      </c>
      <c r="T6" s="2">
        <f t="shared" si="2"/>
        <v>0</v>
      </c>
      <c r="U6" s="2">
        <f t="shared" si="3"/>
        <v>0</v>
      </c>
      <c r="V6" s="2">
        <f t="shared" si="4"/>
        <v>0</v>
      </c>
      <c r="W6" s="1">
        <v>0</v>
      </c>
      <c r="X6" s="3">
        <f t="shared" si="5"/>
        <v>13750</v>
      </c>
      <c r="Y6" s="3">
        <f t="shared" si="6"/>
        <v>5500</v>
      </c>
      <c r="Z6" s="3">
        <f t="shared" si="7"/>
        <v>2750</v>
      </c>
      <c r="AA6" s="3">
        <f t="shared" si="8"/>
        <v>2750</v>
      </c>
      <c r="AB6" s="3">
        <f t="shared" si="9"/>
        <v>2750</v>
      </c>
      <c r="AC6" s="7">
        <f t="shared" si="10"/>
        <v>0</v>
      </c>
      <c r="AD6" s="55">
        <v>27500</v>
      </c>
      <c r="AE6" s="4">
        <f t="shared" ref="AE6:AE13" si="18">+X6/27*R6</f>
        <v>13750</v>
      </c>
      <c r="AF6" s="4">
        <f t="shared" ref="AF6:AF13" si="19">+Y6/27*R6</f>
        <v>5500</v>
      </c>
      <c r="AG6" s="4">
        <f t="shared" ref="AG6:AG13" si="20">+Z6/27*R6</f>
        <v>2750</v>
      </c>
      <c r="AH6" s="4">
        <f t="shared" ref="AH6:AH13" si="21">+AA6/27*R6</f>
        <v>2750</v>
      </c>
      <c r="AI6" s="4">
        <f t="shared" ref="AI6:AI13" si="22">+AB6/27*R6</f>
        <v>2750</v>
      </c>
      <c r="AJ6" s="3">
        <f t="shared" ref="AJ6:AJ13" si="23">SUM(U6*AC6)</f>
        <v>0</v>
      </c>
      <c r="AK6" s="3">
        <f t="shared" ref="AK6:AK13" si="24">SUM(T6*AC6)</f>
        <v>0</v>
      </c>
      <c r="AL6" s="128">
        <f t="shared" si="13"/>
        <v>27500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f t="shared" si="14"/>
        <v>0</v>
      </c>
      <c r="AS6" s="3">
        <f t="shared" si="15"/>
        <v>27500</v>
      </c>
      <c r="AT6" s="3"/>
      <c r="AU6" s="3">
        <v>0</v>
      </c>
      <c r="AV6" s="3">
        <v>0</v>
      </c>
      <c r="AW6" s="43">
        <f t="shared" si="16"/>
        <v>0</v>
      </c>
      <c r="AX6" s="46">
        <f t="shared" si="17"/>
        <v>0</v>
      </c>
    </row>
    <row r="7" spans="2:50" s="56" customFormat="1" ht="33" customHeight="1" thickBot="1" x14ac:dyDescent="0.3">
      <c r="B7" s="4">
        <v>3</v>
      </c>
      <c r="C7" s="4"/>
      <c r="D7" s="4">
        <v>20363</v>
      </c>
      <c r="E7" s="6" t="s">
        <v>50</v>
      </c>
      <c r="F7" s="54" t="s">
        <v>217</v>
      </c>
      <c r="G7" s="6" t="s">
        <v>77</v>
      </c>
      <c r="H7" s="6" t="s">
        <v>233</v>
      </c>
      <c r="I7" s="5"/>
      <c r="J7" s="5"/>
      <c r="K7" s="5"/>
      <c r="L7" s="5" t="str">
        <f t="shared" si="0"/>
        <v>0 years,0 months</v>
      </c>
      <c r="M7" s="1">
        <v>27</v>
      </c>
      <c r="N7" s="1">
        <v>0</v>
      </c>
      <c r="O7" s="1">
        <v>0</v>
      </c>
      <c r="P7" s="1">
        <v>0</v>
      </c>
      <c r="Q7" s="1">
        <v>0</v>
      </c>
      <c r="R7" s="2">
        <f t="shared" si="1"/>
        <v>27</v>
      </c>
      <c r="S7" s="1">
        <v>0</v>
      </c>
      <c r="T7" s="2">
        <f t="shared" si="2"/>
        <v>0</v>
      </c>
      <c r="U7" s="2">
        <f t="shared" si="3"/>
        <v>0</v>
      </c>
      <c r="V7" s="2">
        <f t="shared" si="4"/>
        <v>0</v>
      </c>
      <c r="W7" s="1">
        <v>0</v>
      </c>
      <c r="X7" s="3">
        <f t="shared" si="5"/>
        <v>30000</v>
      </c>
      <c r="Y7" s="3">
        <f t="shared" si="6"/>
        <v>12000</v>
      </c>
      <c r="Z7" s="3">
        <f t="shared" si="7"/>
        <v>6000</v>
      </c>
      <c r="AA7" s="3">
        <f t="shared" si="8"/>
        <v>6000</v>
      </c>
      <c r="AB7" s="3">
        <f t="shared" si="9"/>
        <v>6000</v>
      </c>
      <c r="AC7" s="7">
        <f t="shared" si="10"/>
        <v>0</v>
      </c>
      <c r="AD7" s="55">
        <v>60000</v>
      </c>
      <c r="AE7" s="4">
        <f t="shared" si="18"/>
        <v>30000</v>
      </c>
      <c r="AF7" s="4">
        <f t="shared" si="19"/>
        <v>12000</v>
      </c>
      <c r="AG7" s="4">
        <f t="shared" si="20"/>
        <v>6000</v>
      </c>
      <c r="AH7" s="4">
        <f t="shared" si="21"/>
        <v>6000</v>
      </c>
      <c r="AI7" s="4">
        <f t="shared" si="22"/>
        <v>6000</v>
      </c>
      <c r="AJ7" s="3">
        <f t="shared" si="23"/>
        <v>0</v>
      </c>
      <c r="AK7" s="3">
        <f t="shared" si="24"/>
        <v>0</v>
      </c>
      <c r="AL7" s="128">
        <f t="shared" si="13"/>
        <v>60000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f t="shared" si="14"/>
        <v>0</v>
      </c>
      <c r="AS7" s="3">
        <f t="shared" si="15"/>
        <v>60000</v>
      </c>
      <c r="AT7" s="3"/>
      <c r="AU7" s="3">
        <v>0</v>
      </c>
      <c r="AV7" s="3">
        <v>0</v>
      </c>
      <c r="AW7" s="43">
        <f t="shared" si="16"/>
        <v>0</v>
      </c>
      <c r="AX7" s="46">
        <f t="shared" si="17"/>
        <v>0</v>
      </c>
    </row>
    <row r="8" spans="2:50" s="56" customFormat="1" ht="33" customHeight="1" thickBot="1" x14ac:dyDescent="0.3">
      <c r="B8" s="4">
        <v>4</v>
      </c>
      <c r="C8" s="4"/>
      <c r="D8" s="4">
        <v>20364</v>
      </c>
      <c r="E8" s="6" t="s">
        <v>50</v>
      </c>
      <c r="F8" s="54" t="s">
        <v>214</v>
      </c>
      <c r="G8" s="6" t="s">
        <v>77</v>
      </c>
      <c r="H8" s="6" t="s">
        <v>230</v>
      </c>
      <c r="I8" s="59">
        <v>39173</v>
      </c>
      <c r="J8" s="5"/>
      <c r="K8" s="5">
        <v>46234</v>
      </c>
      <c r="L8" s="5" t="str">
        <f t="shared" si="0"/>
        <v>19 years,3 months</v>
      </c>
      <c r="M8" s="1">
        <v>25</v>
      </c>
      <c r="N8" s="1">
        <v>0</v>
      </c>
      <c r="O8" s="1">
        <v>2</v>
      </c>
      <c r="P8" s="1">
        <v>0</v>
      </c>
      <c r="Q8" s="1">
        <v>0</v>
      </c>
      <c r="R8" s="2">
        <f t="shared" si="1"/>
        <v>27</v>
      </c>
      <c r="S8" s="1">
        <v>0</v>
      </c>
      <c r="T8" s="2">
        <f t="shared" si="2"/>
        <v>0</v>
      </c>
      <c r="U8" s="2">
        <f t="shared" si="3"/>
        <v>0</v>
      </c>
      <c r="V8" s="2">
        <f t="shared" si="4"/>
        <v>0</v>
      </c>
      <c r="W8" s="1">
        <v>0</v>
      </c>
      <c r="X8" s="3">
        <f t="shared" si="5"/>
        <v>9000</v>
      </c>
      <c r="Y8" s="3">
        <f t="shared" si="6"/>
        <v>3600</v>
      </c>
      <c r="Z8" s="3">
        <f t="shared" si="7"/>
        <v>1800</v>
      </c>
      <c r="AA8" s="3">
        <f t="shared" si="8"/>
        <v>1800</v>
      </c>
      <c r="AB8" s="3">
        <f t="shared" si="9"/>
        <v>1800</v>
      </c>
      <c r="AC8" s="7">
        <f t="shared" si="10"/>
        <v>0</v>
      </c>
      <c r="AD8" s="55">
        <v>18000</v>
      </c>
      <c r="AE8" s="4">
        <f t="shared" si="18"/>
        <v>9000</v>
      </c>
      <c r="AF8" s="4">
        <f t="shared" si="19"/>
        <v>3600.0000000000005</v>
      </c>
      <c r="AG8" s="4">
        <f t="shared" si="20"/>
        <v>1800.0000000000002</v>
      </c>
      <c r="AH8" s="4">
        <f t="shared" si="21"/>
        <v>1800.0000000000002</v>
      </c>
      <c r="AI8" s="4">
        <f t="shared" si="22"/>
        <v>1800.0000000000002</v>
      </c>
      <c r="AJ8" s="3">
        <f t="shared" si="23"/>
        <v>0</v>
      </c>
      <c r="AK8" s="3">
        <f t="shared" si="24"/>
        <v>0</v>
      </c>
      <c r="AL8" s="128">
        <f t="shared" si="13"/>
        <v>18000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f t="shared" si="14"/>
        <v>0</v>
      </c>
      <c r="AS8" s="3">
        <f t="shared" si="15"/>
        <v>18000</v>
      </c>
      <c r="AT8" s="3"/>
      <c r="AU8" s="3">
        <v>0</v>
      </c>
      <c r="AV8" s="3">
        <v>0</v>
      </c>
      <c r="AW8" s="43">
        <f t="shared" si="16"/>
        <v>0</v>
      </c>
      <c r="AX8" s="46">
        <f t="shared" si="17"/>
        <v>0</v>
      </c>
    </row>
    <row r="9" spans="2:50" s="56" customFormat="1" ht="33" customHeight="1" thickBot="1" x14ac:dyDescent="0.3">
      <c r="B9" s="4">
        <v>5</v>
      </c>
      <c r="C9" s="4"/>
      <c r="D9" s="183">
        <v>1069</v>
      </c>
      <c r="E9" s="6" t="s">
        <v>50</v>
      </c>
      <c r="F9" s="54" t="s">
        <v>212</v>
      </c>
      <c r="G9" s="6" t="s">
        <v>77</v>
      </c>
      <c r="H9" s="6" t="s">
        <v>229</v>
      </c>
      <c r="I9" s="59">
        <v>45839</v>
      </c>
      <c r="J9" s="5"/>
      <c r="K9" s="5">
        <v>46234</v>
      </c>
      <c r="L9" s="5" t="str">
        <f t="shared" si="0"/>
        <v>1 years,0 months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">
        <f t="shared" si="1"/>
        <v>0</v>
      </c>
      <c r="S9" s="1">
        <v>0</v>
      </c>
      <c r="T9" s="2">
        <f t="shared" si="2"/>
        <v>0</v>
      </c>
      <c r="U9" s="2">
        <f t="shared" si="3"/>
        <v>0</v>
      </c>
      <c r="V9" s="2">
        <f t="shared" si="4"/>
        <v>0</v>
      </c>
      <c r="W9" s="1">
        <v>0</v>
      </c>
      <c r="X9" s="3">
        <f t="shared" si="5"/>
        <v>7500</v>
      </c>
      <c r="Y9" s="3">
        <f t="shared" si="6"/>
        <v>3000</v>
      </c>
      <c r="Z9" s="3">
        <f t="shared" si="7"/>
        <v>1500</v>
      </c>
      <c r="AA9" s="3">
        <f t="shared" si="8"/>
        <v>1500</v>
      </c>
      <c r="AB9" s="3">
        <f t="shared" si="9"/>
        <v>1500</v>
      </c>
      <c r="AC9" s="7">
        <f t="shared" si="10"/>
        <v>0</v>
      </c>
      <c r="AD9" s="55">
        <v>15000</v>
      </c>
      <c r="AE9" s="4">
        <f t="shared" si="18"/>
        <v>0</v>
      </c>
      <c r="AF9" s="4">
        <f t="shared" si="19"/>
        <v>0</v>
      </c>
      <c r="AG9" s="4">
        <f t="shared" si="20"/>
        <v>0</v>
      </c>
      <c r="AH9" s="4">
        <f t="shared" si="21"/>
        <v>0</v>
      </c>
      <c r="AI9" s="4">
        <f t="shared" si="22"/>
        <v>0</v>
      </c>
      <c r="AJ9" s="3">
        <f t="shared" si="23"/>
        <v>0</v>
      </c>
      <c r="AK9" s="3">
        <f t="shared" si="24"/>
        <v>0</v>
      </c>
      <c r="AL9" s="128">
        <f t="shared" si="13"/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f t="shared" si="14"/>
        <v>0</v>
      </c>
      <c r="AS9" s="3">
        <f t="shared" si="15"/>
        <v>0</v>
      </c>
      <c r="AT9" s="3"/>
      <c r="AU9" s="3">
        <v>0</v>
      </c>
      <c r="AV9" s="3">
        <v>0</v>
      </c>
      <c r="AW9" s="43">
        <f t="shared" si="16"/>
        <v>0</v>
      </c>
      <c r="AX9" s="46">
        <f t="shared" si="17"/>
        <v>0</v>
      </c>
    </row>
    <row r="10" spans="2:50" s="56" customFormat="1" ht="33" customHeight="1" thickBot="1" x14ac:dyDescent="0.3">
      <c r="B10" s="4">
        <v>6</v>
      </c>
      <c r="C10" s="4"/>
      <c r="D10" s="183">
        <v>1070</v>
      </c>
      <c r="E10" s="6" t="s">
        <v>50</v>
      </c>
      <c r="F10" s="54" t="s">
        <v>213</v>
      </c>
      <c r="G10" s="6" t="s">
        <v>77</v>
      </c>
      <c r="H10" s="6" t="s">
        <v>229</v>
      </c>
      <c r="I10" s="59">
        <v>45854</v>
      </c>
      <c r="J10" s="5"/>
      <c r="K10" s="5">
        <v>46234</v>
      </c>
      <c r="L10" s="5" t="str">
        <f t="shared" ref="L10:L15" si="25">DATEDIF(I10,K10,"y")&amp;" years,"&amp;DATEDIF(I10,K10,"ym")&amp;" months"</f>
        <v>1 years,0 months</v>
      </c>
      <c r="M10" s="1">
        <f>VLOOKUP(D10,[1]staff!$B$5:$AM$58,38,0)</f>
        <v>27</v>
      </c>
      <c r="N10" s="1">
        <v>0</v>
      </c>
      <c r="O10" s="1">
        <f>VLOOKUP(D10,'[1]stff-sal'!$B$47:$S$56,17,0)</f>
        <v>0</v>
      </c>
      <c r="P10" s="1">
        <v>0</v>
      </c>
      <c r="Q10" s="1">
        <v>0</v>
      </c>
      <c r="R10" s="2">
        <f t="shared" ref="R10:R11" si="26">SUM(M10:Q10)</f>
        <v>27</v>
      </c>
      <c r="S10" s="1">
        <v>0</v>
      </c>
      <c r="T10" s="2">
        <f t="shared" ref="T10:T11" si="27">IF(S10&lt;=50,S10,IF(S10&gt;=50,50,))</f>
        <v>0</v>
      </c>
      <c r="U10" s="2">
        <f t="shared" ref="U10:U11" si="28">SUM(S10-T10)</f>
        <v>0</v>
      </c>
      <c r="V10" s="2">
        <f t="shared" ref="V10:V11" si="29">T10/2</f>
        <v>0</v>
      </c>
      <c r="W10" s="1">
        <v>0</v>
      </c>
      <c r="X10" s="3">
        <f t="shared" ref="X10:X11" si="30">AD10*50%</f>
        <v>7500</v>
      </c>
      <c r="Y10" s="3">
        <f t="shared" ref="Y10:Y11" si="31">AD10*20%</f>
        <v>3000</v>
      </c>
      <c r="Z10" s="3">
        <f t="shared" ref="Z10:Z11" si="32">AD10*10%</f>
        <v>1500</v>
      </c>
      <c r="AA10" s="3">
        <f t="shared" ref="AA10:AA11" si="33">AD10*10%</f>
        <v>1500</v>
      </c>
      <c r="AB10" s="3">
        <f t="shared" ref="AB10:AB11" si="34">AD10*10%</f>
        <v>1500</v>
      </c>
      <c r="AC10" s="7">
        <f t="shared" ref="AC10:AC11" si="35">W10/8</f>
        <v>0</v>
      </c>
      <c r="AD10" s="55">
        <v>15000</v>
      </c>
      <c r="AE10" s="4">
        <f t="shared" si="18"/>
        <v>7500</v>
      </c>
      <c r="AF10" s="4">
        <f t="shared" si="19"/>
        <v>3000</v>
      </c>
      <c r="AG10" s="4">
        <f t="shared" si="20"/>
        <v>1500</v>
      </c>
      <c r="AH10" s="4">
        <f t="shared" si="21"/>
        <v>1500</v>
      </c>
      <c r="AI10" s="4">
        <f t="shared" si="22"/>
        <v>1500</v>
      </c>
      <c r="AJ10" s="3">
        <f t="shared" si="23"/>
        <v>0</v>
      </c>
      <c r="AK10" s="3">
        <f t="shared" si="24"/>
        <v>0</v>
      </c>
      <c r="AL10" s="129">
        <f t="shared" ref="AL10" si="36">SUM(AE10:AK10)</f>
        <v>15000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f t="shared" ref="AR10" si="37">SUM(AN10:AQ10)</f>
        <v>0</v>
      </c>
      <c r="AS10" s="3">
        <f t="shared" ref="AS10:AS11" si="38">+AL10-AR10</f>
        <v>15000</v>
      </c>
      <c r="AT10" s="3"/>
      <c r="AU10" s="3"/>
      <c r="AV10" s="3"/>
      <c r="AW10" s="43">
        <f t="shared" ref="AW10:AW11" si="39">AU10+AV10</f>
        <v>0</v>
      </c>
      <c r="AX10" s="46">
        <f t="shared" ref="AX10:AX11" si="40">AW10-AP10</f>
        <v>0</v>
      </c>
    </row>
    <row r="11" spans="2:50" s="56" customFormat="1" ht="33" customHeight="1" thickBot="1" x14ac:dyDescent="0.3">
      <c r="B11" s="4">
        <v>7</v>
      </c>
      <c r="C11" s="4"/>
      <c r="D11" s="183">
        <v>1075</v>
      </c>
      <c r="E11" s="6" t="s">
        <v>50</v>
      </c>
      <c r="F11" s="54" t="s">
        <v>280</v>
      </c>
      <c r="G11" s="6" t="s">
        <v>77</v>
      </c>
      <c r="H11" s="6" t="s">
        <v>123</v>
      </c>
      <c r="I11" s="59">
        <v>46128</v>
      </c>
      <c r="J11" s="5"/>
      <c r="K11" s="5">
        <v>46234</v>
      </c>
      <c r="L11" s="5" t="str">
        <f t="shared" si="25"/>
        <v>0 years,3 months</v>
      </c>
      <c r="M11" s="1">
        <f>VLOOKUP(D11,[1]staff!$B$5:$AM$58,38,0)</f>
        <v>13</v>
      </c>
      <c r="N11" s="1">
        <v>0</v>
      </c>
      <c r="O11" s="1">
        <v>0</v>
      </c>
      <c r="P11" s="1">
        <v>0</v>
      </c>
      <c r="Q11" s="1">
        <v>0</v>
      </c>
      <c r="R11" s="2">
        <f t="shared" si="26"/>
        <v>13</v>
      </c>
      <c r="S11" s="1">
        <v>0</v>
      </c>
      <c r="T11" s="2">
        <f t="shared" si="27"/>
        <v>0</v>
      </c>
      <c r="U11" s="2">
        <f t="shared" si="28"/>
        <v>0</v>
      </c>
      <c r="V11" s="2">
        <f t="shared" si="29"/>
        <v>0</v>
      </c>
      <c r="W11" s="1">
        <v>0</v>
      </c>
      <c r="X11" s="3">
        <f t="shared" si="30"/>
        <v>7500</v>
      </c>
      <c r="Y11" s="3">
        <f t="shared" si="31"/>
        <v>3000</v>
      </c>
      <c r="Z11" s="3">
        <f t="shared" si="32"/>
        <v>1500</v>
      </c>
      <c r="AA11" s="3">
        <f t="shared" si="33"/>
        <v>1500</v>
      </c>
      <c r="AB11" s="3">
        <f t="shared" si="34"/>
        <v>1500</v>
      </c>
      <c r="AC11" s="7">
        <f t="shared" si="35"/>
        <v>0</v>
      </c>
      <c r="AD11" s="55">
        <v>15000</v>
      </c>
      <c r="AE11" s="4">
        <f t="shared" si="18"/>
        <v>3611.1111111111109</v>
      </c>
      <c r="AF11" s="4">
        <f t="shared" si="19"/>
        <v>1444.4444444444446</v>
      </c>
      <c r="AG11" s="4">
        <f t="shared" si="20"/>
        <v>722.22222222222229</v>
      </c>
      <c r="AH11" s="4">
        <f t="shared" si="21"/>
        <v>722.22222222222229</v>
      </c>
      <c r="AI11" s="4">
        <f t="shared" si="22"/>
        <v>722.22222222222229</v>
      </c>
      <c r="AJ11" s="3">
        <f t="shared" si="23"/>
        <v>0</v>
      </c>
      <c r="AK11" s="3">
        <f t="shared" si="24"/>
        <v>0</v>
      </c>
      <c r="AL11" s="129">
        <f t="shared" ref="AL11" si="41">SUM(AE11:AK11)</f>
        <v>7222.2222222222235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f t="shared" ref="AR11" si="42">SUM(AN11:AQ11)</f>
        <v>0</v>
      </c>
      <c r="AS11" s="3">
        <f t="shared" si="38"/>
        <v>7222.2222222222235</v>
      </c>
      <c r="AT11" s="3"/>
      <c r="AU11" s="3"/>
      <c r="AV11" s="3"/>
      <c r="AW11" s="43">
        <f t="shared" si="39"/>
        <v>0</v>
      </c>
      <c r="AX11" s="46">
        <f t="shared" si="40"/>
        <v>0</v>
      </c>
    </row>
    <row r="12" spans="2:50" s="56" customFormat="1" ht="33" customHeight="1" thickBot="1" x14ac:dyDescent="0.3">
      <c r="B12" s="4">
        <v>8</v>
      </c>
      <c r="C12" s="4"/>
      <c r="D12" s="55">
        <v>1064</v>
      </c>
      <c r="E12" s="54" t="s">
        <v>50</v>
      </c>
      <c r="F12" s="54" t="s">
        <v>203</v>
      </c>
      <c r="G12" s="6" t="s">
        <v>77</v>
      </c>
      <c r="H12" s="6" t="s">
        <v>204</v>
      </c>
      <c r="I12" s="280">
        <v>45646</v>
      </c>
      <c r="J12" s="5"/>
      <c r="K12" s="5">
        <v>46234</v>
      </c>
      <c r="L12" s="5" t="str">
        <f t="shared" si="25"/>
        <v>1 years,7 months</v>
      </c>
      <c r="M12" s="1">
        <v>25</v>
      </c>
      <c r="N12" s="1">
        <v>0</v>
      </c>
      <c r="O12" s="1">
        <v>2</v>
      </c>
      <c r="P12" s="1">
        <v>0</v>
      </c>
      <c r="Q12" s="1">
        <v>0</v>
      </c>
      <c r="R12" s="2">
        <f t="shared" ref="R12" si="43">SUM(M12:Q12)</f>
        <v>27</v>
      </c>
      <c r="S12" s="1">
        <v>0</v>
      </c>
      <c r="T12" s="2">
        <f t="shared" ref="T12" si="44">IF(S12&lt;=50,S12,IF(S12&gt;=50,50,))</f>
        <v>0</v>
      </c>
      <c r="U12" s="2">
        <f t="shared" ref="U12" si="45">SUM(S12-T12)</f>
        <v>0</v>
      </c>
      <c r="V12" s="2">
        <f t="shared" ref="V12" si="46">T12/2</f>
        <v>0</v>
      </c>
      <c r="W12" s="1">
        <v>0</v>
      </c>
      <c r="X12" s="3">
        <f t="shared" ref="X12" si="47">AD12*50%</f>
        <v>8500</v>
      </c>
      <c r="Y12" s="3">
        <f t="shared" ref="Y12" si="48">AD12*20%</f>
        <v>3400</v>
      </c>
      <c r="Z12" s="3">
        <f t="shared" ref="Z12" si="49">AD12*10%</f>
        <v>1700</v>
      </c>
      <c r="AA12" s="3">
        <f t="shared" ref="AA12" si="50">AD12*10%</f>
        <v>1700</v>
      </c>
      <c r="AB12" s="3">
        <f t="shared" ref="AB12" si="51">AD12*10%</f>
        <v>1700</v>
      </c>
      <c r="AC12" s="7">
        <f t="shared" ref="AC12" si="52">W12/8</f>
        <v>0</v>
      </c>
      <c r="AD12" s="55">
        <v>17000</v>
      </c>
      <c r="AE12" s="4">
        <f t="shared" ref="AE12" si="53">+X12/27*R12</f>
        <v>8500</v>
      </c>
      <c r="AF12" s="4">
        <f t="shared" ref="AF12" si="54">+Y12/27*R12</f>
        <v>3400</v>
      </c>
      <c r="AG12" s="4">
        <f t="shared" ref="AG12" si="55">+Z12/27*R12</f>
        <v>1700</v>
      </c>
      <c r="AH12" s="4">
        <f t="shared" ref="AH12" si="56">+AA12/27*R12</f>
        <v>1700</v>
      </c>
      <c r="AI12" s="4">
        <f t="shared" ref="AI12" si="57">+AB12/27*R12</f>
        <v>1700</v>
      </c>
      <c r="AJ12" s="3">
        <f t="shared" ref="AJ12" si="58">SUM(U12*AC12)</f>
        <v>0</v>
      </c>
      <c r="AK12" s="3">
        <f t="shared" ref="AK12" si="59">SUM(T12*AC12)</f>
        <v>0</v>
      </c>
      <c r="AL12" s="129">
        <f t="shared" ref="AL12" si="60">SUM(AE12:AK12)</f>
        <v>17000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f t="shared" ref="AR12" si="61">SUM(AN12:AQ12)</f>
        <v>0</v>
      </c>
      <c r="AS12" s="3">
        <f t="shared" ref="AS12" si="62">+AL12-AR12</f>
        <v>17000</v>
      </c>
      <c r="AT12" s="3"/>
      <c r="AU12" s="3"/>
      <c r="AV12" s="3"/>
      <c r="AW12" s="43">
        <f t="shared" ref="AW12" si="63">AU12+AV12</f>
        <v>0</v>
      </c>
      <c r="AX12" s="46">
        <f t="shared" ref="AX12" si="64">AW12-AP12</f>
        <v>0</v>
      </c>
    </row>
    <row r="13" spans="2:50" s="56" customFormat="1" ht="33" customHeight="1" thickBot="1" x14ac:dyDescent="0.3">
      <c r="B13" s="4">
        <v>9</v>
      </c>
      <c r="C13" s="4"/>
      <c r="D13" s="55">
        <v>1074</v>
      </c>
      <c r="E13" s="54" t="s">
        <v>50</v>
      </c>
      <c r="F13" s="54" t="s">
        <v>313</v>
      </c>
      <c r="G13" s="6" t="s">
        <v>77</v>
      </c>
      <c r="H13" s="6" t="s">
        <v>273</v>
      </c>
      <c r="I13" s="280">
        <v>46096</v>
      </c>
      <c r="J13" s="5"/>
      <c r="K13" s="5">
        <v>46234</v>
      </c>
      <c r="L13" s="5" t="str">
        <f t="shared" si="25"/>
        <v>0 years,4 months</v>
      </c>
      <c r="M13" s="1">
        <v>19</v>
      </c>
      <c r="N13" s="1">
        <v>0</v>
      </c>
      <c r="O13" s="1">
        <v>0</v>
      </c>
      <c r="P13" s="1">
        <v>0</v>
      </c>
      <c r="Q13" s="1">
        <v>0</v>
      </c>
      <c r="R13" s="2">
        <f t="shared" ref="R13:R15" si="65">SUM(M13:Q13)</f>
        <v>19</v>
      </c>
      <c r="S13" s="1">
        <v>0</v>
      </c>
      <c r="T13" s="2">
        <f t="shared" ref="T13:T15" si="66">IF(S13&lt;=50,S13,IF(S13&gt;=50,50,))</f>
        <v>0</v>
      </c>
      <c r="U13" s="2">
        <f t="shared" ref="U13:U15" si="67">SUM(S13-T13)</f>
        <v>0</v>
      </c>
      <c r="V13" s="2">
        <f t="shared" ref="V13:V15" si="68">T13/2</f>
        <v>0</v>
      </c>
      <c r="W13" s="1">
        <v>0</v>
      </c>
      <c r="X13" s="3">
        <f t="shared" ref="X13:X15" si="69">AD13*50%</f>
        <v>8750</v>
      </c>
      <c r="Y13" s="3">
        <f t="shared" ref="Y13:Y15" si="70">AD13*20%</f>
        <v>3500</v>
      </c>
      <c r="Z13" s="3">
        <f t="shared" ref="Z13:Z15" si="71">AD13*10%</f>
        <v>1750</v>
      </c>
      <c r="AA13" s="3">
        <f t="shared" ref="AA13:AA15" si="72">AD13*10%</f>
        <v>1750</v>
      </c>
      <c r="AB13" s="3">
        <f t="shared" ref="AB13:AB15" si="73">AD13*10%</f>
        <v>1750</v>
      </c>
      <c r="AC13" s="7">
        <f t="shared" ref="AC13:AC15" si="74">W13/8</f>
        <v>0</v>
      </c>
      <c r="AD13" s="55">
        <v>17500</v>
      </c>
      <c r="AE13" s="4">
        <f t="shared" si="18"/>
        <v>6157.4074074074078</v>
      </c>
      <c r="AF13" s="4">
        <f t="shared" si="19"/>
        <v>2462.9629629629626</v>
      </c>
      <c r="AG13" s="4">
        <f t="shared" si="20"/>
        <v>1231.4814814814813</v>
      </c>
      <c r="AH13" s="4">
        <f t="shared" si="21"/>
        <v>1231.4814814814813</v>
      </c>
      <c r="AI13" s="4">
        <f t="shared" si="22"/>
        <v>1231.4814814814813</v>
      </c>
      <c r="AJ13" s="3">
        <f t="shared" si="23"/>
        <v>0</v>
      </c>
      <c r="AK13" s="3">
        <f t="shared" si="24"/>
        <v>0</v>
      </c>
      <c r="AL13" s="129">
        <f t="shared" ref="AL13:AL15" si="75">SUM(AE13:AK13)</f>
        <v>12314.814814814816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f t="shared" ref="AR13:AR15" si="76">SUM(AN13:AQ13)</f>
        <v>0</v>
      </c>
      <c r="AS13" s="3">
        <f t="shared" ref="AS13:AS15" si="77">+AL13-AR13</f>
        <v>12314.814814814816</v>
      </c>
      <c r="AT13" s="3"/>
      <c r="AU13" s="3"/>
      <c r="AV13" s="3"/>
      <c r="AW13" s="43">
        <f t="shared" ref="AW13:AW15" si="78">AU13+AV13</f>
        <v>0</v>
      </c>
      <c r="AX13" s="46">
        <f t="shared" ref="AX13:AX15" si="79">AW13-AP13</f>
        <v>0</v>
      </c>
    </row>
    <row r="14" spans="2:50" s="56" customFormat="1" ht="33" customHeight="1" thickBot="1" x14ac:dyDescent="0.3">
      <c r="B14" s="4">
        <v>10</v>
      </c>
      <c r="C14" s="4"/>
      <c r="D14" s="55">
        <v>1085</v>
      </c>
      <c r="E14" s="54" t="s">
        <v>50</v>
      </c>
      <c r="F14" s="54" t="s">
        <v>312</v>
      </c>
      <c r="G14" s="6" t="s">
        <v>77</v>
      </c>
      <c r="H14" s="6" t="s">
        <v>211</v>
      </c>
      <c r="I14" s="279">
        <v>46207</v>
      </c>
      <c r="J14" s="5"/>
      <c r="K14" s="5">
        <v>46234</v>
      </c>
      <c r="L14" s="5" t="str">
        <f t="shared" si="25"/>
        <v>0 years,0 months</v>
      </c>
      <c r="M14" s="1">
        <f>VLOOKUP(D14,[1]staff!$B$5:$AM$58,38,0)</f>
        <v>24</v>
      </c>
      <c r="N14" s="1">
        <v>0</v>
      </c>
      <c r="O14" s="1">
        <v>0</v>
      </c>
      <c r="P14" s="1">
        <v>0</v>
      </c>
      <c r="Q14" s="1">
        <v>0</v>
      </c>
      <c r="R14" s="2">
        <f t="shared" si="65"/>
        <v>24</v>
      </c>
      <c r="S14" s="1">
        <v>0</v>
      </c>
      <c r="T14" s="2">
        <f t="shared" si="66"/>
        <v>0</v>
      </c>
      <c r="U14" s="2">
        <f t="shared" si="67"/>
        <v>0</v>
      </c>
      <c r="V14" s="2">
        <f t="shared" si="68"/>
        <v>0</v>
      </c>
      <c r="W14" s="1">
        <v>0</v>
      </c>
      <c r="X14" s="3">
        <f t="shared" si="69"/>
        <v>7500</v>
      </c>
      <c r="Y14" s="3">
        <f t="shared" si="70"/>
        <v>3000</v>
      </c>
      <c r="Z14" s="3">
        <f t="shared" si="71"/>
        <v>1500</v>
      </c>
      <c r="AA14" s="3">
        <f t="shared" si="72"/>
        <v>1500</v>
      </c>
      <c r="AB14" s="3">
        <f t="shared" si="73"/>
        <v>1500</v>
      </c>
      <c r="AC14" s="7">
        <f t="shared" si="74"/>
        <v>0</v>
      </c>
      <c r="AD14" s="55">
        <v>15000</v>
      </c>
      <c r="AE14" s="4">
        <f t="shared" ref="AE14:AE15" si="80">+X14/27*R14</f>
        <v>6666.6666666666661</v>
      </c>
      <c r="AF14" s="4">
        <f t="shared" ref="AF14:AF15" si="81">+Y14/27*R14</f>
        <v>2666.666666666667</v>
      </c>
      <c r="AG14" s="4">
        <f t="shared" ref="AG14:AG15" si="82">+Z14/27*R14</f>
        <v>1333.3333333333335</v>
      </c>
      <c r="AH14" s="4">
        <f t="shared" ref="AH14:AH15" si="83">+AA14/27*R14</f>
        <v>1333.3333333333335</v>
      </c>
      <c r="AI14" s="4">
        <f t="shared" ref="AI14:AI15" si="84">+AB14/27*R14</f>
        <v>1333.3333333333335</v>
      </c>
      <c r="AJ14" s="3">
        <f t="shared" ref="AJ14:AJ15" si="85">SUM(U14*AC14)</f>
        <v>0</v>
      </c>
      <c r="AK14" s="3">
        <f t="shared" ref="AK14:AK15" si="86">SUM(T14*AC14)</f>
        <v>0</v>
      </c>
      <c r="AL14" s="129">
        <f t="shared" si="75"/>
        <v>13333.333333333334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f t="shared" si="76"/>
        <v>0</v>
      </c>
      <c r="AS14" s="3">
        <f t="shared" si="77"/>
        <v>13333.333333333334</v>
      </c>
      <c r="AT14" s="3"/>
      <c r="AU14" s="3"/>
      <c r="AV14" s="3"/>
      <c r="AW14" s="43">
        <f t="shared" si="78"/>
        <v>0</v>
      </c>
      <c r="AX14" s="46">
        <f t="shared" si="79"/>
        <v>0</v>
      </c>
    </row>
    <row r="15" spans="2:50" s="56" customFormat="1" ht="33" customHeight="1" thickBot="1" x14ac:dyDescent="0.3">
      <c r="B15" s="4">
        <v>11</v>
      </c>
      <c r="C15" s="4"/>
      <c r="D15" s="55">
        <v>1088</v>
      </c>
      <c r="E15" s="54" t="s">
        <v>50</v>
      </c>
      <c r="F15" s="54" t="s">
        <v>314</v>
      </c>
      <c r="G15" s="6" t="s">
        <v>77</v>
      </c>
      <c r="H15" s="6" t="s">
        <v>315</v>
      </c>
      <c r="I15" s="280">
        <v>46230</v>
      </c>
      <c r="J15" s="5"/>
      <c r="K15" s="5">
        <v>46234</v>
      </c>
      <c r="L15" s="5" t="str">
        <f t="shared" si="25"/>
        <v>0 years,0 months</v>
      </c>
      <c r="M15" s="1">
        <f>VLOOKUP(D15,[1]staff!$B$5:$AM$58,38,0)</f>
        <v>5</v>
      </c>
      <c r="N15" s="1">
        <v>0</v>
      </c>
      <c r="O15" s="1">
        <v>0</v>
      </c>
      <c r="P15" s="1">
        <v>0</v>
      </c>
      <c r="Q15" s="1">
        <v>0</v>
      </c>
      <c r="R15" s="2">
        <f t="shared" si="65"/>
        <v>5</v>
      </c>
      <c r="S15" s="1">
        <v>0</v>
      </c>
      <c r="T15" s="2">
        <f t="shared" si="66"/>
        <v>0</v>
      </c>
      <c r="U15" s="2">
        <f t="shared" si="67"/>
        <v>0</v>
      </c>
      <c r="V15" s="2">
        <f t="shared" si="68"/>
        <v>0</v>
      </c>
      <c r="W15" s="1">
        <v>0</v>
      </c>
      <c r="X15" s="3">
        <f t="shared" si="69"/>
        <v>6250</v>
      </c>
      <c r="Y15" s="3">
        <f t="shared" si="70"/>
        <v>2500</v>
      </c>
      <c r="Z15" s="3">
        <f t="shared" si="71"/>
        <v>1250</v>
      </c>
      <c r="AA15" s="3">
        <f t="shared" si="72"/>
        <v>1250</v>
      </c>
      <c r="AB15" s="3">
        <f t="shared" si="73"/>
        <v>1250</v>
      </c>
      <c r="AC15" s="7">
        <f t="shared" si="74"/>
        <v>0</v>
      </c>
      <c r="AD15" s="55">
        <v>12500</v>
      </c>
      <c r="AE15" s="4">
        <f t="shared" si="80"/>
        <v>1157.4074074074074</v>
      </c>
      <c r="AF15" s="4">
        <f t="shared" si="81"/>
        <v>462.96296296296299</v>
      </c>
      <c r="AG15" s="4">
        <f t="shared" si="82"/>
        <v>231.4814814814815</v>
      </c>
      <c r="AH15" s="4">
        <f t="shared" si="83"/>
        <v>231.4814814814815</v>
      </c>
      <c r="AI15" s="4">
        <f t="shared" si="84"/>
        <v>231.4814814814815</v>
      </c>
      <c r="AJ15" s="3">
        <f t="shared" si="85"/>
        <v>0</v>
      </c>
      <c r="AK15" s="3">
        <f t="shared" si="86"/>
        <v>0</v>
      </c>
      <c r="AL15" s="129">
        <f t="shared" si="75"/>
        <v>2314.8148148148148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f t="shared" si="76"/>
        <v>0</v>
      </c>
      <c r="AS15" s="3">
        <f t="shared" si="77"/>
        <v>2314.8148148148148</v>
      </c>
      <c r="AT15" s="3"/>
      <c r="AU15" s="3"/>
      <c r="AV15" s="3"/>
      <c r="AW15" s="43">
        <f t="shared" si="78"/>
        <v>0</v>
      </c>
      <c r="AX15" s="46">
        <f t="shared" si="79"/>
        <v>0</v>
      </c>
    </row>
    <row r="16" spans="2:50" ht="23.25" thickBot="1" x14ac:dyDescent="0.3">
      <c r="B16" s="262" t="s">
        <v>24</v>
      </c>
      <c r="C16" s="278"/>
      <c r="D16" s="278"/>
      <c r="E16" s="278"/>
      <c r="F16" s="278"/>
      <c r="G16" s="263"/>
      <c r="H16" s="263"/>
      <c r="I16" s="263"/>
      <c r="J16" s="263"/>
      <c r="K16" s="263"/>
      <c r="L16" s="263"/>
      <c r="M16" s="23">
        <f>SUM(M5:M15)</f>
        <v>219</v>
      </c>
      <c r="N16" s="23">
        <f>SUM(N5:N15)</f>
        <v>0</v>
      </c>
      <c r="O16" s="23">
        <f>SUM(O5:O15)</f>
        <v>4</v>
      </c>
      <c r="P16" s="23">
        <f>SUM(P5:P15)</f>
        <v>0</v>
      </c>
      <c r="Q16" s="23">
        <f>SUM(Q5:Q15)</f>
        <v>0</v>
      </c>
      <c r="R16" s="23">
        <f>SUM(R5:R15)</f>
        <v>223</v>
      </c>
      <c r="S16" s="23">
        <f>SUM(S5:S15)</f>
        <v>0</v>
      </c>
      <c r="T16" s="23">
        <f>SUM(T5:T15)</f>
        <v>0</v>
      </c>
      <c r="U16" s="23">
        <f>SUM(U5:U15)</f>
        <v>0</v>
      </c>
      <c r="V16" s="23">
        <f>SUM(V5:V15)</f>
        <v>0</v>
      </c>
      <c r="W16" s="23">
        <f>SUM(W5:W15)</f>
        <v>0</v>
      </c>
      <c r="X16" s="23">
        <f>SUM(X5:X15)</f>
        <v>133750</v>
      </c>
      <c r="Y16" s="23">
        <f>SUM(Y5:Y15)</f>
        <v>53500</v>
      </c>
      <c r="Z16" s="23">
        <f>SUM(Z5:Z15)</f>
        <v>26750</v>
      </c>
      <c r="AA16" s="23">
        <f>SUM(AA5:AA15)</f>
        <v>26750</v>
      </c>
      <c r="AB16" s="23">
        <f>SUM(AB5:AB15)</f>
        <v>26750</v>
      </c>
      <c r="AC16" s="23">
        <f>SUM(AC5:AC15)</f>
        <v>0</v>
      </c>
      <c r="AD16" s="52">
        <f>SUM(AD5:AD15)</f>
        <v>267500</v>
      </c>
      <c r="AE16" s="23">
        <f>SUM(AE5:AE15)</f>
        <v>113842.59259259258</v>
      </c>
      <c r="AF16" s="23">
        <f>SUM(AF5:AF15)</f>
        <v>45537.037037037036</v>
      </c>
      <c r="AG16" s="23">
        <f>SUM(AG5:AG15)</f>
        <v>22768.518518518518</v>
      </c>
      <c r="AH16" s="23">
        <f>SUM(AH5:AH15)</f>
        <v>22768.518518518518</v>
      </c>
      <c r="AI16" s="23">
        <f>SUM(AI5:AI15)</f>
        <v>22768.518518518518</v>
      </c>
      <c r="AJ16" s="23">
        <f>SUM(AJ5:AJ15)</f>
        <v>0</v>
      </c>
      <c r="AK16" s="23">
        <f>SUM(AK5:AK15)</f>
        <v>0</v>
      </c>
      <c r="AL16" s="130">
        <f t="shared" si="13"/>
        <v>227685.18518518514</v>
      </c>
      <c r="AM16" s="23">
        <f>SUM(AM5:AM15)</f>
        <v>0</v>
      </c>
      <c r="AN16" s="23">
        <f>SUM(AN5:AN15)</f>
        <v>0</v>
      </c>
      <c r="AO16" s="23">
        <f>SUM(AO5:AO15)</f>
        <v>0</v>
      </c>
      <c r="AP16" s="23">
        <f>SUM(AP5:AP15)</f>
        <v>0</v>
      </c>
      <c r="AQ16" s="23">
        <f>SUM(AQ5:AQ15)</f>
        <v>0</v>
      </c>
      <c r="AR16" s="23">
        <f>SUM(AR5:AR15)</f>
        <v>0</v>
      </c>
      <c r="AS16" s="23">
        <f>SUM(AS5:AS15)</f>
        <v>227685.18518518517</v>
      </c>
      <c r="AT16" s="23">
        <f>SUM(AT5:AT15)</f>
        <v>0</v>
      </c>
      <c r="AU16" s="23">
        <f>SUM(AU5:AU15)</f>
        <v>0</v>
      </c>
      <c r="AV16" s="23">
        <f>SUM(AV5:AV15)</f>
        <v>0</v>
      </c>
      <c r="AW16" s="23">
        <f>SUM(AW5:AW15)</f>
        <v>0</v>
      </c>
      <c r="AX16" s="23">
        <f>SUM(AX5:AX15)</f>
        <v>0</v>
      </c>
    </row>
    <row r="17" spans="2:50" ht="23.25" thickBot="1" x14ac:dyDescent="0.35">
      <c r="B17" s="259" t="s">
        <v>60</v>
      </c>
      <c r="C17" s="260"/>
      <c r="D17" s="260"/>
      <c r="E17" s="260"/>
      <c r="F17" s="261"/>
      <c r="G17" s="30"/>
      <c r="H17" s="253" t="s">
        <v>61</v>
      </c>
      <c r="I17" s="254"/>
      <c r="J17" s="254"/>
      <c r="K17" s="254"/>
      <c r="L17" s="254"/>
      <c r="M17" s="254"/>
      <c r="N17" s="254"/>
      <c r="O17" s="254"/>
      <c r="P17" s="254"/>
      <c r="Q17" s="254"/>
      <c r="R17" s="255"/>
      <c r="S17" s="256" t="s">
        <v>62</v>
      </c>
      <c r="T17" s="257"/>
      <c r="U17" s="257"/>
      <c r="V17" s="257"/>
      <c r="W17" s="257"/>
      <c r="X17" s="257"/>
      <c r="Y17" s="257" t="s">
        <v>62</v>
      </c>
      <c r="Z17" s="257"/>
      <c r="AA17" s="257"/>
      <c r="AB17" s="257"/>
      <c r="AC17" s="257"/>
      <c r="AD17" s="257"/>
      <c r="AE17" s="257"/>
      <c r="AF17" s="258"/>
      <c r="AG17" s="247" t="s">
        <v>63</v>
      </c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9"/>
    </row>
  </sheetData>
  <mergeCells count="18">
    <mergeCell ref="B1:AX1"/>
    <mergeCell ref="B2:AX2"/>
    <mergeCell ref="H17:R17"/>
    <mergeCell ref="S17:AF17"/>
    <mergeCell ref="B17:F17"/>
    <mergeCell ref="B3:F3"/>
    <mergeCell ref="X3:AD3"/>
    <mergeCell ref="AN3:AR3"/>
    <mergeCell ref="B16:L16"/>
    <mergeCell ref="I3:W3"/>
    <mergeCell ref="AE3:AM3"/>
    <mergeCell ref="AS3:AS4"/>
    <mergeCell ref="AW3:AW4"/>
    <mergeCell ref="AX3:AX4"/>
    <mergeCell ref="AT3:AT4"/>
    <mergeCell ref="AU3:AU4"/>
    <mergeCell ref="AG17:AX17"/>
    <mergeCell ref="AV3:AV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E81C-6392-4CCE-A943-944C7EDE3FB0}">
  <dimension ref="B1:BE39"/>
  <sheetViews>
    <sheetView topLeftCell="B1" workbookViewId="0">
      <pane xSplit="11" ySplit="4" topLeftCell="AI27" activePane="bottomRight" state="frozen"/>
      <selection activeCell="B1" sqref="B1"/>
      <selection pane="topRight" activeCell="M1" sqref="M1"/>
      <selection pane="bottomLeft" activeCell="B5" sqref="B5"/>
      <selection pane="bottomRight" activeCell="L32" sqref="L32"/>
    </sheetView>
  </sheetViews>
  <sheetFormatPr defaultRowHeight="15" x14ac:dyDescent="0.25"/>
  <cols>
    <col min="1" max="1" width="9.140625" style="53"/>
    <col min="2" max="2" width="5.5703125" style="53" bestFit="1" customWidth="1"/>
    <col min="3" max="3" width="6" style="53" bestFit="1" customWidth="1"/>
    <col min="4" max="4" width="9.28515625" style="53" bestFit="1" customWidth="1"/>
    <col min="5" max="5" width="13.85546875" style="53" customWidth="1"/>
    <col min="6" max="6" width="28.7109375" style="161" bestFit="1" customWidth="1"/>
    <col min="7" max="7" width="12.42578125" style="53" customWidth="1"/>
    <col min="8" max="8" width="16.5703125" style="53" customWidth="1"/>
    <col min="9" max="9" width="10.140625" style="53" customWidth="1"/>
    <col min="10" max="10" width="10" style="53" customWidth="1"/>
    <col min="11" max="11" width="10.85546875" style="53" customWidth="1"/>
    <col min="12" max="12" width="17.85546875" style="53" customWidth="1"/>
    <col min="13" max="13" width="13.5703125" style="53" bestFit="1" customWidth="1"/>
    <col min="14" max="14" width="6.140625" style="53" bestFit="1" customWidth="1"/>
    <col min="15" max="15" width="5.85546875" style="53" bestFit="1" customWidth="1"/>
    <col min="16" max="17" width="5.140625" style="53" bestFit="1" customWidth="1"/>
    <col min="18" max="18" width="7.42578125" style="53" bestFit="1" customWidth="1"/>
    <col min="19" max="19" width="8.7109375" style="53" bestFit="1" customWidth="1"/>
    <col min="20" max="20" width="8.42578125" style="53" bestFit="1" customWidth="1"/>
    <col min="21" max="21" width="7.28515625" style="53" bestFit="1" customWidth="1"/>
    <col min="22" max="22" width="7.85546875" style="53" bestFit="1" customWidth="1"/>
    <col min="23" max="23" width="9.5703125" style="53" bestFit="1" customWidth="1"/>
    <col min="24" max="25" width="10.7109375" style="53" bestFit="1" customWidth="1"/>
    <col min="26" max="28" width="9.5703125" style="53" bestFit="1" customWidth="1"/>
    <col min="29" max="29" width="8.42578125" style="53" bestFit="1" customWidth="1"/>
    <col min="30" max="30" width="10.7109375" style="57" bestFit="1" customWidth="1"/>
    <col min="31" max="32" width="10.7109375" style="53" bestFit="1" customWidth="1"/>
    <col min="33" max="37" width="9.5703125" style="53" bestFit="1" customWidth="1"/>
    <col min="38" max="38" width="9" style="193" bestFit="1" customWidth="1"/>
    <col min="39" max="39" width="8.42578125" style="53" bestFit="1" customWidth="1"/>
    <col min="40" max="40" width="6.7109375" style="53" bestFit="1" customWidth="1"/>
    <col min="41" max="41" width="5.140625" style="53" bestFit="1" customWidth="1"/>
    <col min="42" max="42" width="9.28515625" style="53" bestFit="1" customWidth="1"/>
    <col min="43" max="43" width="8.7109375" style="53" bestFit="1" customWidth="1"/>
    <col min="44" max="44" width="9.5703125" style="53" bestFit="1" customWidth="1"/>
    <col min="45" max="45" width="11.7109375" style="53" bestFit="1" customWidth="1"/>
    <col min="46" max="46" width="10" style="53" bestFit="1" customWidth="1"/>
    <col min="47" max="47" width="13.85546875" style="53" customWidth="1"/>
    <col min="48" max="48" width="13.28515625" style="53" customWidth="1"/>
    <col min="49" max="49" width="18.140625" style="53" bestFit="1" customWidth="1"/>
    <col min="50" max="50" width="17.140625" style="53" bestFit="1" customWidth="1"/>
    <col min="51" max="16384" width="9.140625" style="53"/>
  </cols>
  <sheetData>
    <row r="1" spans="2:57" ht="21" thickBot="1" x14ac:dyDescent="0.3">
      <c r="B1" s="250" t="s">
        <v>228</v>
      </c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K1" s="251"/>
      <c r="AL1" s="251"/>
      <c r="AM1" s="251"/>
      <c r="AN1" s="251"/>
      <c r="AO1" s="251"/>
      <c r="AP1" s="251"/>
      <c r="AQ1" s="251"/>
      <c r="AR1" s="251"/>
      <c r="AS1" s="251"/>
      <c r="AT1" s="251"/>
      <c r="AU1" s="251"/>
      <c r="AV1" s="251"/>
      <c r="AW1" s="251"/>
      <c r="AX1" s="252"/>
    </row>
    <row r="2" spans="2:57" ht="20.25" x14ac:dyDescent="0.25">
      <c r="B2" s="267" t="s">
        <v>306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267"/>
      <c r="AR2" s="267"/>
      <c r="AS2" s="267"/>
      <c r="AT2" s="267"/>
      <c r="AU2" s="267"/>
      <c r="AV2" s="267"/>
      <c r="AW2" s="267"/>
      <c r="AX2" s="267"/>
    </row>
    <row r="3" spans="2:57" x14ac:dyDescent="0.25">
      <c r="B3" s="268" t="s">
        <v>18</v>
      </c>
      <c r="C3" s="268"/>
      <c r="D3" s="268"/>
      <c r="E3" s="268"/>
      <c r="F3" s="268"/>
      <c r="G3" s="60"/>
      <c r="H3" s="60">
        <v>26</v>
      </c>
      <c r="I3" s="268" t="s">
        <v>64</v>
      </c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 t="s">
        <v>56</v>
      </c>
      <c r="Y3" s="268"/>
      <c r="Z3" s="268"/>
      <c r="AA3" s="268"/>
      <c r="AB3" s="268"/>
      <c r="AC3" s="268"/>
      <c r="AD3" s="268"/>
      <c r="AE3" s="268" t="s">
        <v>12</v>
      </c>
      <c r="AF3" s="268"/>
      <c r="AG3" s="268"/>
      <c r="AH3" s="268"/>
      <c r="AI3" s="268"/>
      <c r="AJ3" s="268"/>
      <c r="AK3" s="268"/>
      <c r="AL3" s="268"/>
      <c r="AM3" s="268"/>
      <c r="AN3" s="268" t="s">
        <v>13</v>
      </c>
      <c r="AO3" s="268"/>
      <c r="AP3" s="268"/>
      <c r="AQ3" s="268"/>
      <c r="AR3" s="268"/>
      <c r="AS3" s="269" t="s">
        <v>22</v>
      </c>
      <c r="AT3" s="269" t="s">
        <v>17</v>
      </c>
      <c r="AU3" s="269" t="s">
        <v>65</v>
      </c>
      <c r="AV3" s="269" t="s">
        <v>74</v>
      </c>
      <c r="AW3" s="269" t="s">
        <v>20</v>
      </c>
      <c r="AX3" s="269" t="s">
        <v>21</v>
      </c>
    </row>
    <row r="4" spans="2:57" ht="29.25" thickBot="1" x14ac:dyDescent="0.3">
      <c r="B4" s="61" t="s">
        <v>35</v>
      </c>
      <c r="C4" s="61" t="s">
        <v>37</v>
      </c>
      <c r="D4" s="61" t="s">
        <v>23</v>
      </c>
      <c r="E4" s="6" t="s">
        <v>50</v>
      </c>
      <c r="F4" s="159" t="s">
        <v>5</v>
      </c>
      <c r="G4" s="61" t="s">
        <v>76</v>
      </c>
      <c r="H4" s="61" t="s">
        <v>6</v>
      </c>
      <c r="I4" s="61" t="s">
        <v>26</v>
      </c>
      <c r="J4" s="61" t="s">
        <v>27</v>
      </c>
      <c r="K4" s="61" t="s">
        <v>29</v>
      </c>
      <c r="L4" s="61" t="s">
        <v>28</v>
      </c>
      <c r="M4" s="61" t="s">
        <v>0</v>
      </c>
      <c r="N4" s="61" t="s">
        <v>58</v>
      </c>
      <c r="O4" s="61" t="s">
        <v>1</v>
      </c>
      <c r="P4" s="61" t="s">
        <v>2</v>
      </c>
      <c r="Q4" s="61" t="s">
        <v>3</v>
      </c>
      <c r="R4" s="61" t="s">
        <v>4</v>
      </c>
      <c r="S4" s="61" t="s">
        <v>54</v>
      </c>
      <c r="T4" s="61" t="s">
        <v>68</v>
      </c>
      <c r="U4" s="61" t="s">
        <v>67</v>
      </c>
      <c r="V4" s="61" t="s">
        <v>53</v>
      </c>
      <c r="W4" s="61" t="s">
        <v>19</v>
      </c>
      <c r="X4" s="61" t="s">
        <v>31</v>
      </c>
      <c r="Y4" s="61" t="s">
        <v>8</v>
      </c>
      <c r="Z4" s="61" t="s">
        <v>32</v>
      </c>
      <c r="AA4" s="61" t="s">
        <v>48</v>
      </c>
      <c r="AB4" s="61" t="s">
        <v>9</v>
      </c>
      <c r="AC4" s="61" t="s">
        <v>51</v>
      </c>
      <c r="AD4" s="62" t="s">
        <v>7</v>
      </c>
      <c r="AE4" s="61" t="s">
        <v>31</v>
      </c>
      <c r="AF4" s="61" t="s">
        <v>8</v>
      </c>
      <c r="AG4" s="61" t="s">
        <v>10</v>
      </c>
      <c r="AH4" s="61" t="s">
        <v>48</v>
      </c>
      <c r="AI4" s="61" t="s">
        <v>9</v>
      </c>
      <c r="AJ4" s="61" t="s">
        <v>66</v>
      </c>
      <c r="AK4" s="61" t="s">
        <v>52</v>
      </c>
      <c r="AL4" s="190" t="s">
        <v>7</v>
      </c>
      <c r="AM4" s="61" t="s">
        <v>69</v>
      </c>
      <c r="AN4" s="61" t="s">
        <v>25</v>
      </c>
      <c r="AO4" s="61" t="s">
        <v>46</v>
      </c>
      <c r="AP4" s="61" t="s">
        <v>45</v>
      </c>
      <c r="AQ4" s="61" t="s">
        <v>73</v>
      </c>
      <c r="AR4" s="61" t="s">
        <v>34</v>
      </c>
      <c r="AS4" s="269"/>
      <c r="AT4" s="269"/>
      <c r="AU4" s="269"/>
      <c r="AV4" s="269"/>
      <c r="AW4" s="269"/>
      <c r="AX4" s="269"/>
    </row>
    <row r="5" spans="2:57" s="158" customFormat="1" ht="21" thickBot="1" x14ac:dyDescent="0.35">
      <c r="B5" s="139">
        <v>1</v>
      </c>
      <c r="C5" s="140"/>
      <c r="D5" s="154">
        <v>10041</v>
      </c>
      <c r="E5" s="141" t="s">
        <v>50</v>
      </c>
      <c r="F5" s="160" t="s">
        <v>147</v>
      </c>
      <c r="G5" s="141" t="s">
        <v>272</v>
      </c>
      <c r="H5" s="141" t="s">
        <v>273</v>
      </c>
      <c r="I5" s="155">
        <v>43133</v>
      </c>
      <c r="J5" s="156"/>
      <c r="K5" s="142">
        <v>46109</v>
      </c>
      <c r="L5" s="142" t="str">
        <f>DATEDIF(I5,K5,"y")&amp;" years,"&amp;DATEDIF(I5,K5,"ym")&amp;" months"</f>
        <v>8 years,1 months</v>
      </c>
      <c r="M5" s="143">
        <v>26</v>
      </c>
      <c r="N5" s="143">
        <v>0</v>
      </c>
      <c r="O5" s="143">
        <v>1</v>
      </c>
      <c r="P5" s="143">
        <v>0</v>
      </c>
      <c r="Q5" s="143">
        <v>0</v>
      </c>
      <c r="R5" s="144">
        <f>SUM(M5:Q5)</f>
        <v>27</v>
      </c>
      <c r="S5" s="143">
        <v>65.5</v>
      </c>
      <c r="T5" s="144">
        <f>IF(S5&lt;=50,S5,IF(S5&gt;=50,50,))</f>
        <v>50</v>
      </c>
      <c r="U5" s="144">
        <f>SUM(S5-T5)</f>
        <v>15.5</v>
      </c>
      <c r="V5" s="144">
        <f>T5/2</f>
        <v>25</v>
      </c>
      <c r="W5" s="143">
        <v>906</v>
      </c>
      <c r="X5" s="145">
        <f t="shared" ref="X5:X10" si="0">AD5*50%</f>
        <v>12231</v>
      </c>
      <c r="Y5" s="145">
        <f t="shared" ref="Y5:Y10" si="1">AD5*20%</f>
        <v>4892.4000000000005</v>
      </c>
      <c r="Z5" s="145">
        <f t="shared" ref="Z5:Z10" si="2">AD5*10%</f>
        <v>2446.2000000000003</v>
      </c>
      <c r="AA5" s="145">
        <f t="shared" ref="AA5:AA10" si="3">AD5*10%</f>
        <v>2446.2000000000003</v>
      </c>
      <c r="AB5" s="145">
        <f t="shared" ref="AB5:AB10" si="4">AD5*10%</f>
        <v>2446.2000000000003</v>
      </c>
      <c r="AC5" s="146">
        <f t="shared" ref="AC5:AC10" si="5">W5/8</f>
        <v>113.25</v>
      </c>
      <c r="AD5" s="147">
        <f>+W5*27</f>
        <v>24462</v>
      </c>
      <c r="AE5" s="139">
        <f>+X5/27*R5</f>
        <v>12231</v>
      </c>
      <c r="AF5" s="139">
        <f>+Y5/27*R5</f>
        <v>4892.4000000000005</v>
      </c>
      <c r="AG5" s="139">
        <f>+Z5/27*R5</f>
        <v>2446.2000000000003</v>
      </c>
      <c r="AH5" s="139">
        <f>+AA5/27*R5</f>
        <v>2446.2000000000003</v>
      </c>
      <c r="AI5" s="139">
        <f>+AB5/27*R5</f>
        <v>2446.2000000000003</v>
      </c>
      <c r="AJ5" s="145">
        <f>SUM(U5*AC5)</f>
        <v>1755.375</v>
      </c>
      <c r="AK5" s="145">
        <f>SUM(T5*AC5)</f>
        <v>5662.5</v>
      </c>
      <c r="AL5" s="191">
        <f>SUM(AE5:AK5)</f>
        <v>31879.875000000004</v>
      </c>
      <c r="AM5" s="145">
        <v>0</v>
      </c>
      <c r="AN5" s="145">
        <v>0</v>
      </c>
      <c r="AO5" s="145">
        <v>0</v>
      </c>
      <c r="AP5" s="145">
        <v>1000</v>
      </c>
      <c r="AQ5" s="145">
        <v>0</v>
      </c>
      <c r="AR5" s="145">
        <f>SUM(AN5:AQ5)</f>
        <v>1000</v>
      </c>
      <c r="AS5" s="145">
        <f>+AL5-AR5</f>
        <v>30879.875000000004</v>
      </c>
      <c r="AT5" s="145"/>
      <c r="AU5" s="145">
        <v>0</v>
      </c>
      <c r="AV5" s="145">
        <v>52000</v>
      </c>
      <c r="AW5" s="148">
        <v>52000</v>
      </c>
      <c r="AX5" s="149">
        <f t="shared" ref="AX5:AX10" si="6">AW5-AP5</f>
        <v>51000</v>
      </c>
      <c r="AY5" s="150"/>
      <c r="AZ5" s="150"/>
      <c r="BA5" s="157"/>
      <c r="BB5" s="150"/>
      <c r="BC5" s="151"/>
      <c r="BD5" s="152"/>
      <c r="BE5" s="153"/>
    </row>
    <row r="6" spans="2:57" s="57" customFormat="1" ht="21" thickBot="1" x14ac:dyDescent="0.35">
      <c r="B6" s="139">
        <v>3</v>
      </c>
      <c r="C6" s="139"/>
      <c r="D6" s="270">
        <v>10164</v>
      </c>
      <c r="E6" s="141" t="s">
        <v>50</v>
      </c>
      <c r="F6" s="189" t="s">
        <v>218</v>
      </c>
      <c r="G6" s="141" t="s">
        <v>77</v>
      </c>
      <c r="H6" s="141" t="s">
        <v>211</v>
      </c>
      <c r="I6" s="155">
        <v>45965</v>
      </c>
      <c r="J6" s="142"/>
      <c r="K6" s="142">
        <v>46109</v>
      </c>
      <c r="L6" s="142" t="str">
        <f>DATEDIF(I6,K6,"y")&amp;" years,"&amp;DATEDIF(I6,K6,"ym")&amp;" months"</f>
        <v>0 years,4 months</v>
      </c>
      <c r="M6" s="143">
        <v>26</v>
      </c>
      <c r="N6" s="143">
        <v>0</v>
      </c>
      <c r="O6" s="143">
        <v>1</v>
      </c>
      <c r="P6" s="143">
        <v>0</v>
      </c>
      <c r="Q6" s="143">
        <v>0</v>
      </c>
      <c r="R6" s="144">
        <f t="shared" ref="R6:R30" si="7">SUM(M6:Q6)</f>
        <v>27</v>
      </c>
      <c r="S6" s="143">
        <v>55.5</v>
      </c>
      <c r="T6" s="144">
        <f>IF(S6&lt;=50,S6,IF(S6&gt;=50,50,))</f>
        <v>50</v>
      </c>
      <c r="U6" s="144">
        <f>SUM(S6-T6)</f>
        <v>5.5</v>
      </c>
      <c r="V6" s="144">
        <f>T6/2</f>
        <v>25</v>
      </c>
      <c r="W6" s="143">
        <v>475</v>
      </c>
      <c r="X6" s="145">
        <f t="shared" si="0"/>
        <v>6412.5</v>
      </c>
      <c r="Y6" s="145">
        <f t="shared" si="1"/>
        <v>2565</v>
      </c>
      <c r="Z6" s="145">
        <f t="shared" si="2"/>
        <v>1282.5</v>
      </c>
      <c r="AA6" s="145">
        <f t="shared" si="3"/>
        <v>1282.5</v>
      </c>
      <c r="AB6" s="145">
        <f t="shared" si="4"/>
        <v>1282.5</v>
      </c>
      <c r="AC6" s="146">
        <f t="shared" si="5"/>
        <v>59.375</v>
      </c>
      <c r="AD6" s="147">
        <f t="shared" ref="AD6:AD32" si="8">+W6*27</f>
        <v>12825</v>
      </c>
      <c r="AE6" s="139">
        <f t="shared" ref="AE6:AE32" si="9">+X6/27*R6</f>
        <v>6412.5</v>
      </c>
      <c r="AF6" s="139">
        <f t="shared" ref="AF6:AF32" si="10">+Y6/27*R6</f>
        <v>2565</v>
      </c>
      <c r="AG6" s="139">
        <f t="shared" ref="AG6:AG32" si="11">+Z6/27*R6</f>
        <v>1282.5</v>
      </c>
      <c r="AH6" s="139">
        <f t="shared" ref="AH6:AH32" si="12">+AA6/27*R6</f>
        <v>1282.5</v>
      </c>
      <c r="AI6" s="139">
        <f t="shared" ref="AI6:AI32" si="13">+AB6/27*R6</f>
        <v>1282.5</v>
      </c>
      <c r="AJ6" s="145">
        <f t="shared" ref="AJ6:AJ32" si="14">SUM(U6*AC6)</f>
        <v>326.5625</v>
      </c>
      <c r="AK6" s="145">
        <f t="shared" ref="AK6:AK10" si="15">SUM(T6*AC6)</f>
        <v>2968.75</v>
      </c>
      <c r="AL6" s="191">
        <f t="shared" ref="AL6:AL10" si="16">SUM(AE6:AK6)</f>
        <v>16120.3125</v>
      </c>
      <c r="AM6" s="145">
        <v>0</v>
      </c>
      <c r="AN6" s="145">
        <v>0</v>
      </c>
      <c r="AO6" s="145">
        <v>0</v>
      </c>
      <c r="AP6" s="145">
        <v>0</v>
      </c>
      <c r="AQ6" s="145">
        <v>0</v>
      </c>
      <c r="AR6" s="145">
        <f t="shared" ref="AR6:AR10" si="17">SUM(AN6:AQ6)</f>
        <v>0</v>
      </c>
      <c r="AS6" s="145">
        <f t="shared" ref="AS6:AS10" si="18">+AL6-AR6</f>
        <v>16120.3125</v>
      </c>
      <c r="AT6" s="145"/>
      <c r="AU6" s="145">
        <v>0</v>
      </c>
      <c r="AV6" s="145">
        <v>0</v>
      </c>
      <c r="AW6" s="148">
        <v>0</v>
      </c>
      <c r="AX6" s="149">
        <f t="shared" si="6"/>
        <v>0</v>
      </c>
      <c r="AY6" s="150"/>
    </row>
    <row r="7" spans="2:57" s="57" customFormat="1" ht="21" thickBot="1" x14ac:dyDescent="0.35">
      <c r="B7" s="139"/>
      <c r="C7" s="139"/>
      <c r="D7" s="189">
        <v>10141</v>
      </c>
      <c r="E7" s="141" t="s">
        <v>50</v>
      </c>
      <c r="F7" s="189" t="s">
        <v>207</v>
      </c>
      <c r="G7" s="141" t="s">
        <v>77</v>
      </c>
      <c r="H7" s="141"/>
      <c r="I7" s="155"/>
      <c r="J7" s="142"/>
      <c r="K7" s="142"/>
      <c r="L7" s="142"/>
      <c r="M7" s="143">
        <v>23</v>
      </c>
      <c r="N7" s="143">
        <v>0</v>
      </c>
      <c r="O7" s="143">
        <v>2</v>
      </c>
      <c r="P7" s="143">
        <v>0</v>
      </c>
      <c r="Q7" s="143">
        <v>0</v>
      </c>
      <c r="R7" s="144">
        <f t="shared" ref="R7" si="19">SUM(M7:Q7)</f>
        <v>25</v>
      </c>
      <c r="S7" s="143">
        <v>84</v>
      </c>
      <c r="T7" s="144">
        <f>IF(S7&lt;=50,S7,IF(S7&gt;=50,50,))</f>
        <v>50</v>
      </c>
      <c r="U7" s="144">
        <f>SUM(S7-T7)</f>
        <v>34</v>
      </c>
      <c r="V7" s="144">
        <f>T7/2</f>
        <v>25</v>
      </c>
      <c r="W7" s="143">
        <v>475</v>
      </c>
      <c r="X7" s="145">
        <f t="shared" ref="X7" si="20">AD7*50%</f>
        <v>6412.5</v>
      </c>
      <c r="Y7" s="145">
        <f t="shared" ref="Y7" si="21">AD7*20%</f>
        <v>2565</v>
      </c>
      <c r="Z7" s="145">
        <f t="shared" ref="Z7" si="22">AD7*10%</f>
        <v>1282.5</v>
      </c>
      <c r="AA7" s="145">
        <f t="shared" ref="AA7" si="23">AD7*10%</f>
        <v>1282.5</v>
      </c>
      <c r="AB7" s="145">
        <f t="shared" ref="AB7" si="24">AD7*10%</f>
        <v>1282.5</v>
      </c>
      <c r="AC7" s="146">
        <f t="shared" ref="AC7" si="25">W7/8</f>
        <v>59.375</v>
      </c>
      <c r="AD7" s="147">
        <f t="shared" si="8"/>
        <v>12825</v>
      </c>
      <c r="AE7" s="139">
        <f t="shared" si="9"/>
        <v>5937.5</v>
      </c>
      <c r="AF7" s="139">
        <f t="shared" si="10"/>
        <v>2375</v>
      </c>
      <c r="AG7" s="139">
        <f t="shared" si="11"/>
        <v>1187.5</v>
      </c>
      <c r="AH7" s="139">
        <f t="shared" si="12"/>
        <v>1187.5</v>
      </c>
      <c r="AI7" s="139">
        <f t="shared" si="13"/>
        <v>1187.5</v>
      </c>
      <c r="AJ7" s="145">
        <f t="shared" ref="AJ7" si="26">SUM(U7*AC7)</f>
        <v>2018.75</v>
      </c>
      <c r="AK7" s="145">
        <f t="shared" ref="AK7" si="27">SUM(T7*AC7)</f>
        <v>2968.75</v>
      </c>
      <c r="AL7" s="191">
        <f t="shared" ref="AL7" si="28">SUM(AE7:AK7)</f>
        <v>16862.5</v>
      </c>
      <c r="AM7" s="145">
        <v>0</v>
      </c>
      <c r="AN7" s="145">
        <v>0</v>
      </c>
      <c r="AO7" s="145">
        <v>0</v>
      </c>
      <c r="AP7" s="145">
        <v>0</v>
      </c>
      <c r="AQ7" s="145">
        <v>0</v>
      </c>
      <c r="AR7" s="145">
        <f t="shared" ref="AR7" si="29">SUM(AN7:AQ7)</f>
        <v>0</v>
      </c>
      <c r="AS7" s="145">
        <f t="shared" ref="AS7" si="30">+AL7-AR7</f>
        <v>16862.5</v>
      </c>
      <c r="AT7" s="145"/>
      <c r="AU7" s="145">
        <v>0</v>
      </c>
      <c r="AV7" s="145">
        <v>0</v>
      </c>
      <c r="AW7" s="148">
        <v>0</v>
      </c>
      <c r="AX7" s="149">
        <f t="shared" ref="AX7" si="31">AW7-AP7</f>
        <v>0</v>
      </c>
      <c r="AY7" s="150"/>
    </row>
    <row r="8" spans="2:57" s="57" customFormat="1" ht="21" thickBot="1" x14ac:dyDescent="0.35">
      <c r="B8" s="139">
        <v>4</v>
      </c>
      <c r="C8" s="139"/>
      <c r="D8" s="154">
        <v>10177</v>
      </c>
      <c r="E8" s="141" t="s">
        <v>50</v>
      </c>
      <c r="F8" s="160" t="s">
        <v>224</v>
      </c>
      <c r="G8" s="141" t="s">
        <v>77</v>
      </c>
      <c r="H8" s="141" t="s">
        <v>273</v>
      </c>
      <c r="I8" s="155">
        <v>45958</v>
      </c>
      <c r="J8" s="142"/>
      <c r="K8" s="142">
        <v>46109</v>
      </c>
      <c r="L8" s="142" t="str">
        <f t="shared" ref="L8:L12" si="32">DATEDIF(I8,K8,"y")&amp;" years,"&amp;DATEDIF(I8,K8,"ym")&amp;" months"</f>
        <v>0 years,5 months</v>
      </c>
      <c r="M8" s="143">
        <v>27</v>
      </c>
      <c r="N8" s="143">
        <v>0</v>
      </c>
      <c r="O8" s="143">
        <v>0</v>
      </c>
      <c r="P8" s="143">
        <v>0</v>
      </c>
      <c r="Q8" s="143">
        <v>0</v>
      </c>
      <c r="R8" s="144">
        <f t="shared" si="7"/>
        <v>27</v>
      </c>
      <c r="S8" s="143">
        <v>81</v>
      </c>
      <c r="T8" s="144">
        <f t="shared" ref="T8:T32" si="33">IF(S8&lt;=50,S8,IF(S8&gt;=50,50,))</f>
        <v>50</v>
      </c>
      <c r="U8" s="144">
        <f t="shared" ref="U8:U10" si="34">SUM(S8-T8)</f>
        <v>31</v>
      </c>
      <c r="V8" s="144">
        <f t="shared" ref="V8:V10" si="35">T8/2</f>
        <v>25</v>
      </c>
      <c r="W8" s="143">
        <v>425</v>
      </c>
      <c r="X8" s="145">
        <f t="shared" si="0"/>
        <v>5737.5</v>
      </c>
      <c r="Y8" s="145">
        <f t="shared" si="1"/>
        <v>2295</v>
      </c>
      <c r="Z8" s="145">
        <f t="shared" si="2"/>
        <v>1147.5</v>
      </c>
      <c r="AA8" s="145">
        <f t="shared" si="3"/>
        <v>1147.5</v>
      </c>
      <c r="AB8" s="145">
        <f t="shared" si="4"/>
        <v>1147.5</v>
      </c>
      <c r="AC8" s="146">
        <f t="shared" si="5"/>
        <v>53.125</v>
      </c>
      <c r="AD8" s="147">
        <f t="shared" si="8"/>
        <v>11475</v>
      </c>
      <c r="AE8" s="139">
        <f t="shared" si="9"/>
        <v>5737.5</v>
      </c>
      <c r="AF8" s="139">
        <f t="shared" si="10"/>
        <v>2295</v>
      </c>
      <c r="AG8" s="139">
        <f t="shared" si="11"/>
        <v>1147.5</v>
      </c>
      <c r="AH8" s="139">
        <f t="shared" si="12"/>
        <v>1147.5</v>
      </c>
      <c r="AI8" s="139">
        <f t="shared" si="13"/>
        <v>1147.5</v>
      </c>
      <c r="AJ8" s="145">
        <f t="shared" si="14"/>
        <v>1646.875</v>
      </c>
      <c r="AK8" s="145">
        <f t="shared" si="15"/>
        <v>2656.25</v>
      </c>
      <c r="AL8" s="191">
        <f t="shared" si="16"/>
        <v>15778.125</v>
      </c>
      <c r="AM8" s="145">
        <v>0</v>
      </c>
      <c r="AN8" s="145">
        <v>0</v>
      </c>
      <c r="AO8" s="145">
        <v>0</v>
      </c>
      <c r="AP8" s="145">
        <v>0</v>
      </c>
      <c r="AQ8" s="145">
        <v>0</v>
      </c>
      <c r="AR8" s="145">
        <f t="shared" si="17"/>
        <v>0</v>
      </c>
      <c r="AS8" s="145">
        <f t="shared" si="18"/>
        <v>15778.125</v>
      </c>
      <c r="AT8" s="145"/>
      <c r="AU8" s="145">
        <v>0</v>
      </c>
      <c r="AV8" s="145">
        <v>0</v>
      </c>
      <c r="AW8" s="148">
        <v>0</v>
      </c>
      <c r="AX8" s="149">
        <f t="shared" si="6"/>
        <v>0</v>
      </c>
      <c r="AY8" s="150"/>
    </row>
    <row r="9" spans="2:57" s="57" customFormat="1" ht="21" thickBot="1" x14ac:dyDescent="0.35">
      <c r="B9" s="139">
        <v>5</v>
      </c>
      <c r="C9" s="139"/>
      <c r="D9" s="154">
        <v>10158</v>
      </c>
      <c r="E9" s="141" t="s">
        <v>50</v>
      </c>
      <c r="F9" s="160" t="s">
        <v>221</v>
      </c>
      <c r="G9" s="141" t="s">
        <v>77</v>
      </c>
      <c r="H9" s="141" t="s">
        <v>229</v>
      </c>
      <c r="I9" s="155">
        <v>45722</v>
      </c>
      <c r="J9" s="142"/>
      <c r="K9" s="142">
        <v>46109</v>
      </c>
      <c r="L9" s="142" t="str">
        <f t="shared" si="32"/>
        <v>1 years,0 months</v>
      </c>
      <c r="M9" s="143">
        <v>26.5</v>
      </c>
      <c r="N9" s="143">
        <v>0</v>
      </c>
      <c r="O9" s="143">
        <v>0.5</v>
      </c>
      <c r="P9" s="143">
        <v>0</v>
      </c>
      <c r="Q9" s="143">
        <v>0</v>
      </c>
      <c r="R9" s="144">
        <f t="shared" si="7"/>
        <v>27</v>
      </c>
      <c r="S9" s="143">
        <v>108.5</v>
      </c>
      <c r="T9" s="144">
        <f t="shared" si="33"/>
        <v>50</v>
      </c>
      <c r="U9" s="144">
        <f t="shared" si="34"/>
        <v>58.5</v>
      </c>
      <c r="V9" s="144">
        <f t="shared" si="35"/>
        <v>25</v>
      </c>
      <c r="W9" s="143">
        <v>475</v>
      </c>
      <c r="X9" s="145">
        <f t="shared" si="0"/>
        <v>6412.5</v>
      </c>
      <c r="Y9" s="145">
        <f t="shared" si="1"/>
        <v>2565</v>
      </c>
      <c r="Z9" s="145">
        <f t="shared" si="2"/>
        <v>1282.5</v>
      </c>
      <c r="AA9" s="145">
        <f t="shared" si="3"/>
        <v>1282.5</v>
      </c>
      <c r="AB9" s="145">
        <f t="shared" si="4"/>
        <v>1282.5</v>
      </c>
      <c r="AC9" s="146">
        <f t="shared" si="5"/>
        <v>59.375</v>
      </c>
      <c r="AD9" s="147">
        <f t="shared" si="8"/>
        <v>12825</v>
      </c>
      <c r="AE9" s="139">
        <f t="shared" si="9"/>
        <v>6412.5</v>
      </c>
      <c r="AF9" s="139">
        <f t="shared" si="10"/>
        <v>2565</v>
      </c>
      <c r="AG9" s="139">
        <f t="shared" si="11"/>
        <v>1282.5</v>
      </c>
      <c r="AH9" s="139">
        <f t="shared" si="12"/>
        <v>1282.5</v>
      </c>
      <c r="AI9" s="139">
        <f t="shared" si="13"/>
        <v>1282.5</v>
      </c>
      <c r="AJ9" s="145">
        <f t="shared" si="14"/>
        <v>3473.4375</v>
      </c>
      <c r="AK9" s="145">
        <f t="shared" si="15"/>
        <v>2968.75</v>
      </c>
      <c r="AL9" s="191">
        <f t="shared" si="16"/>
        <v>19267.1875</v>
      </c>
      <c r="AM9" s="145">
        <v>0</v>
      </c>
      <c r="AN9" s="145">
        <v>0</v>
      </c>
      <c r="AO9" s="145">
        <v>0</v>
      </c>
      <c r="AP9" s="145">
        <v>0</v>
      </c>
      <c r="AQ9" s="145">
        <v>0</v>
      </c>
      <c r="AR9" s="145">
        <f t="shared" si="17"/>
        <v>0</v>
      </c>
      <c r="AS9" s="145">
        <f t="shared" si="18"/>
        <v>19267.1875</v>
      </c>
      <c r="AT9" s="145"/>
      <c r="AU9" s="145">
        <v>0</v>
      </c>
      <c r="AV9" s="145">
        <v>0</v>
      </c>
      <c r="AW9" s="148">
        <v>0</v>
      </c>
      <c r="AX9" s="149">
        <f t="shared" si="6"/>
        <v>0</v>
      </c>
      <c r="AY9" s="150"/>
    </row>
    <row r="10" spans="2:57" s="57" customFormat="1" ht="21" thickBot="1" x14ac:dyDescent="0.35">
      <c r="B10" s="139">
        <v>7</v>
      </c>
      <c r="C10" s="139"/>
      <c r="D10" s="154">
        <v>10185</v>
      </c>
      <c r="E10" s="141" t="s">
        <v>50</v>
      </c>
      <c r="F10" s="160" t="s">
        <v>279</v>
      </c>
      <c r="G10" s="141" t="s">
        <v>77</v>
      </c>
      <c r="H10" s="141" t="s">
        <v>273</v>
      </c>
      <c r="I10" s="155">
        <v>46062</v>
      </c>
      <c r="J10" s="142"/>
      <c r="K10" s="142">
        <v>46109</v>
      </c>
      <c r="L10" s="142" t="str">
        <f t="shared" si="32"/>
        <v>0 years,1 months</v>
      </c>
      <c r="M10" s="143">
        <v>16.5</v>
      </c>
      <c r="N10" s="143">
        <v>0</v>
      </c>
      <c r="O10" s="143">
        <v>0</v>
      </c>
      <c r="P10" s="143">
        <v>0</v>
      </c>
      <c r="Q10" s="143">
        <v>0</v>
      </c>
      <c r="R10" s="144">
        <f t="shared" si="7"/>
        <v>16.5</v>
      </c>
      <c r="S10" s="143">
        <v>31</v>
      </c>
      <c r="T10" s="144">
        <f t="shared" si="33"/>
        <v>31</v>
      </c>
      <c r="U10" s="144">
        <f t="shared" si="34"/>
        <v>0</v>
      </c>
      <c r="V10" s="144">
        <f t="shared" si="35"/>
        <v>15.5</v>
      </c>
      <c r="W10" s="143">
        <v>425</v>
      </c>
      <c r="X10" s="145">
        <f t="shared" si="0"/>
        <v>5737.5</v>
      </c>
      <c r="Y10" s="145">
        <f t="shared" si="1"/>
        <v>2295</v>
      </c>
      <c r="Z10" s="145">
        <f t="shared" si="2"/>
        <v>1147.5</v>
      </c>
      <c r="AA10" s="145">
        <f t="shared" si="3"/>
        <v>1147.5</v>
      </c>
      <c r="AB10" s="145">
        <f t="shared" si="4"/>
        <v>1147.5</v>
      </c>
      <c r="AC10" s="146">
        <f t="shared" si="5"/>
        <v>53.125</v>
      </c>
      <c r="AD10" s="147">
        <f t="shared" si="8"/>
        <v>11475</v>
      </c>
      <c r="AE10" s="139">
        <f t="shared" si="9"/>
        <v>3506.25</v>
      </c>
      <c r="AF10" s="139">
        <f t="shared" si="10"/>
        <v>1402.5</v>
      </c>
      <c r="AG10" s="139">
        <f t="shared" si="11"/>
        <v>701.25</v>
      </c>
      <c r="AH10" s="139">
        <f t="shared" si="12"/>
        <v>701.25</v>
      </c>
      <c r="AI10" s="139">
        <f t="shared" si="13"/>
        <v>701.25</v>
      </c>
      <c r="AJ10" s="145">
        <f t="shared" si="14"/>
        <v>0</v>
      </c>
      <c r="AK10" s="145">
        <f t="shared" si="15"/>
        <v>1646.875</v>
      </c>
      <c r="AL10" s="191">
        <f t="shared" si="16"/>
        <v>8659.375</v>
      </c>
      <c r="AM10" s="145">
        <v>0</v>
      </c>
      <c r="AN10" s="145">
        <v>0</v>
      </c>
      <c r="AO10" s="145">
        <v>0</v>
      </c>
      <c r="AP10" s="145">
        <v>0</v>
      </c>
      <c r="AQ10" s="145">
        <v>0</v>
      </c>
      <c r="AR10" s="145">
        <f t="shared" si="17"/>
        <v>0</v>
      </c>
      <c r="AS10" s="145">
        <f t="shared" si="18"/>
        <v>8659.375</v>
      </c>
      <c r="AT10" s="145"/>
      <c r="AU10" s="145">
        <v>0</v>
      </c>
      <c r="AV10" s="145">
        <v>0</v>
      </c>
      <c r="AW10" s="148">
        <v>0</v>
      </c>
      <c r="AX10" s="149">
        <f t="shared" si="6"/>
        <v>0</v>
      </c>
      <c r="AY10" s="150"/>
    </row>
    <row r="11" spans="2:57" s="57" customFormat="1" ht="21" thickBot="1" x14ac:dyDescent="0.35">
      <c r="B11" s="139">
        <v>9</v>
      </c>
      <c r="C11" s="139"/>
      <c r="D11" s="154">
        <v>10196</v>
      </c>
      <c r="E11" s="141" t="s">
        <v>50</v>
      </c>
      <c r="F11" s="160" t="s">
        <v>284</v>
      </c>
      <c r="G11" s="141" t="s">
        <v>77</v>
      </c>
      <c r="H11" s="141" t="s">
        <v>273</v>
      </c>
      <c r="I11" s="155">
        <v>46092</v>
      </c>
      <c r="J11" s="142"/>
      <c r="K11" s="142">
        <v>46109</v>
      </c>
      <c r="L11" s="142" t="str">
        <f t="shared" si="32"/>
        <v>0 years,0 months</v>
      </c>
      <c r="M11" s="143">
        <v>24</v>
      </c>
      <c r="N11" s="143">
        <v>0</v>
      </c>
      <c r="O11" s="143">
        <v>0</v>
      </c>
      <c r="P11" s="143">
        <v>0</v>
      </c>
      <c r="Q11" s="143">
        <v>0</v>
      </c>
      <c r="R11" s="144">
        <f t="shared" si="7"/>
        <v>24</v>
      </c>
      <c r="S11" s="143">
        <v>80.5</v>
      </c>
      <c r="T11" s="144">
        <f t="shared" ref="T11" si="36">IF(S11&lt;=50,S11,IF(S11&gt;=50,50,))</f>
        <v>50</v>
      </c>
      <c r="U11" s="144">
        <f t="shared" ref="U11" si="37">SUM(S11-T11)</f>
        <v>30.5</v>
      </c>
      <c r="V11" s="144">
        <f t="shared" ref="V11" si="38">T11/2</f>
        <v>25</v>
      </c>
      <c r="W11" s="143">
        <v>525</v>
      </c>
      <c r="X11" s="145">
        <f t="shared" ref="X11" si="39">AD11*50%</f>
        <v>7087.5</v>
      </c>
      <c r="Y11" s="145">
        <f t="shared" ref="Y11" si="40">AD11*20%</f>
        <v>2835</v>
      </c>
      <c r="Z11" s="145">
        <f t="shared" ref="Z11" si="41">AD11*10%</f>
        <v>1417.5</v>
      </c>
      <c r="AA11" s="145">
        <f t="shared" ref="AA11" si="42">AD11*10%</f>
        <v>1417.5</v>
      </c>
      <c r="AB11" s="145">
        <f t="shared" ref="AB11" si="43">AD11*10%</f>
        <v>1417.5</v>
      </c>
      <c r="AC11" s="146">
        <f t="shared" ref="AC11" si="44">W11/8</f>
        <v>65.625</v>
      </c>
      <c r="AD11" s="147">
        <f t="shared" si="8"/>
        <v>14175</v>
      </c>
      <c r="AE11" s="139">
        <f t="shared" si="9"/>
        <v>6300</v>
      </c>
      <c r="AF11" s="139">
        <f t="shared" si="10"/>
        <v>2520</v>
      </c>
      <c r="AG11" s="139">
        <f t="shared" si="11"/>
        <v>1260</v>
      </c>
      <c r="AH11" s="139">
        <f t="shared" si="12"/>
        <v>1260</v>
      </c>
      <c r="AI11" s="139">
        <f t="shared" si="13"/>
        <v>1260</v>
      </c>
      <c r="AJ11" s="145">
        <f t="shared" ref="AJ11" si="45">SUM(U11*AC11)</f>
        <v>2001.5625</v>
      </c>
      <c r="AK11" s="145">
        <f t="shared" ref="AK11" si="46">SUM(T11*AC11)</f>
        <v>3281.25</v>
      </c>
      <c r="AL11" s="191">
        <f t="shared" ref="AL11" si="47">SUM(AE11:AK11)</f>
        <v>17882.8125</v>
      </c>
      <c r="AM11" s="145">
        <v>0</v>
      </c>
      <c r="AN11" s="145">
        <v>0</v>
      </c>
      <c r="AO11" s="145">
        <v>0</v>
      </c>
      <c r="AP11" s="145">
        <v>0</v>
      </c>
      <c r="AQ11" s="145">
        <v>0</v>
      </c>
      <c r="AR11" s="145">
        <f t="shared" ref="AR11" si="48">SUM(AN11:AQ11)</f>
        <v>0</v>
      </c>
      <c r="AS11" s="145">
        <f t="shared" ref="AS11" si="49">+AL11-AR11</f>
        <v>17882.8125</v>
      </c>
      <c r="AT11" s="145"/>
      <c r="AU11" s="145">
        <v>0</v>
      </c>
      <c r="AV11" s="145">
        <v>0</v>
      </c>
      <c r="AW11" s="148">
        <v>0</v>
      </c>
      <c r="AX11" s="149">
        <f t="shared" ref="AX11" si="50">AW11-AP11</f>
        <v>0</v>
      </c>
      <c r="AY11" s="150"/>
    </row>
    <row r="12" spans="2:57" s="57" customFormat="1" ht="21" thickBot="1" x14ac:dyDescent="0.35">
      <c r="B12" s="139">
        <v>11</v>
      </c>
      <c r="C12" s="139"/>
      <c r="D12" s="154">
        <v>10194</v>
      </c>
      <c r="E12" s="141" t="s">
        <v>50</v>
      </c>
      <c r="F12" s="160" t="s">
        <v>285</v>
      </c>
      <c r="G12" s="141" t="s">
        <v>77</v>
      </c>
      <c r="H12" s="141" t="s">
        <v>211</v>
      </c>
      <c r="I12" s="155">
        <v>46084</v>
      </c>
      <c r="J12" s="142"/>
      <c r="K12" s="142">
        <v>46109</v>
      </c>
      <c r="L12" s="142" t="str">
        <f t="shared" si="32"/>
        <v>0 years,0 months</v>
      </c>
      <c r="M12" s="143">
        <v>7</v>
      </c>
      <c r="N12" s="143">
        <v>0</v>
      </c>
      <c r="O12" s="143">
        <v>0</v>
      </c>
      <c r="P12" s="143">
        <v>0</v>
      </c>
      <c r="Q12" s="143">
        <v>0</v>
      </c>
      <c r="R12" s="144">
        <f t="shared" ref="R12" si="51">SUM(M12:Q12)</f>
        <v>7</v>
      </c>
      <c r="S12" s="143">
        <v>17.5</v>
      </c>
      <c r="T12" s="144">
        <f t="shared" ref="T12" si="52">IF(S12&lt;=50,S12,IF(S12&gt;=50,50,))</f>
        <v>17.5</v>
      </c>
      <c r="U12" s="144">
        <f t="shared" ref="U12" si="53">SUM(S12-T12)</f>
        <v>0</v>
      </c>
      <c r="V12" s="144">
        <f t="shared" ref="V12" si="54">T12/2</f>
        <v>8.75</v>
      </c>
      <c r="W12" s="143">
        <v>425</v>
      </c>
      <c r="X12" s="145">
        <f t="shared" ref="X12" si="55">AD12*50%</f>
        <v>5737.5</v>
      </c>
      <c r="Y12" s="145">
        <f t="shared" ref="Y12" si="56">AD12*20%</f>
        <v>2295</v>
      </c>
      <c r="Z12" s="145">
        <f t="shared" ref="Z12" si="57">AD12*10%</f>
        <v>1147.5</v>
      </c>
      <c r="AA12" s="145">
        <f t="shared" ref="AA12" si="58">AD12*10%</f>
        <v>1147.5</v>
      </c>
      <c r="AB12" s="145">
        <f t="shared" ref="AB12" si="59">AD12*10%</f>
        <v>1147.5</v>
      </c>
      <c r="AC12" s="146">
        <f t="shared" ref="AC12" si="60">W12/8</f>
        <v>53.125</v>
      </c>
      <c r="AD12" s="147">
        <f t="shared" si="8"/>
        <v>11475</v>
      </c>
      <c r="AE12" s="139">
        <f t="shared" si="9"/>
        <v>1487.5</v>
      </c>
      <c r="AF12" s="139">
        <f t="shared" si="10"/>
        <v>595</v>
      </c>
      <c r="AG12" s="139">
        <f t="shared" si="11"/>
        <v>297.5</v>
      </c>
      <c r="AH12" s="139">
        <f t="shared" si="12"/>
        <v>297.5</v>
      </c>
      <c r="AI12" s="139">
        <f t="shared" si="13"/>
        <v>297.5</v>
      </c>
      <c r="AJ12" s="145">
        <f t="shared" ref="AJ12" si="61">SUM(U12*AC12)</f>
        <v>0</v>
      </c>
      <c r="AK12" s="145">
        <f t="shared" ref="AK12" si="62">SUM(T12*AC12)</f>
        <v>929.6875</v>
      </c>
      <c r="AL12" s="191">
        <f t="shared" ref="AL12" si="63">SUM(AE12:AK12)</f>
        <v>3904.6875</v>
      </c>
      <c r="AM12" s="145">
        <v>0</v>
      </c>
      <c r="AN12" s="145">
        <v>0</v>
      </c>
      <c r="AO12" s="145">
        <v>0</v>
      </c>
      <c r="AP12" s="145">
        <v>0</v>
      </c>
      <c r="AQ12" s="145">
        <v>0</v>
      </c>
      <c r="AR12" s="145">
        <f t="shared" ref="AR12" si="64">SUM(AN12:AQ12)</f>
        <v>0</v>
      </c>
      <c r="AS12" s="145">
        <f t="shared" ref="AS12" si="65">+AL12-AR12</f>
        <v>3904.6875</v>
      </c>
      <c r="AT12" s="145"/>
      <c r="AU12" s="145">
        <v>0</v>
      </c>
      <c r="AV12" s="145">
        <v>0</v>
      </c>
      <c r="AW12" s="148">
        <v>0</v>
      </c>
      <c r="AX12" s="149">
        <f t="shared" ref="AX12" si="66">AW12-AP12</f>
        <v>0</v>
      </c>
      <c r="AY12" s="150"/>
    </row>
    <row r="13" spans="2:57" s="57" customFormat="1" ht="21" thickBot="1" x14ac:dyDescent="0.35">
      <c r="B13" s="139">
        <v>14</v>
      </c>
      <c r="C13" s="139"/>
      <c r="D13" s="176">
        <v>10202</v>
      </c>
      <c r="E13" s="141" t="s">
        <v>50</v>
      </c>
      <c r="F13" t="s">
        <v>289</v>
      </c>
      <c r="G13" s="141" t="s">
        <v>77</v>
      </c>
      <c r="H13" s="141" t="s">
        <v>211</v>
      </c>
      <c r="I13" s="155"/>
      <c r="J13" s="142"/>
      <c r="K13" s="142"/>
      <c r="L13" s="142"/>
      <c r="M13" s="143">
        <v>27</v>
      </c>
      <c r="N13" s="143">
        <v>0</v>
      </c>
      <c r="O13" s="143">
        <v>0</v>
      </c>
      <c r="P13" s="143">
        <v>0</v>
      </c>
      <c r="Q13" s="143">
        <v>0</v>
      </c>
      <c r="R13" s="144">
        <f t="shared" ref="R13:R14" si="67">SUM(M13:Q13)</f>
        <v>27</v>
      </c>
      <c r="S13" s="143">
        <v>56</v>
      </c>
      <c r="T13" s="144">
        <f t="shared" ref="T13:T14" si="68">IF(S13&lt;=50,S13,IF(S13&gt;=50,50,))</f>
        <v>50</v>
      </c>
      <c r="U13" s="144">
        <f t="shared" ref="U13:U14" si="69">SUM(S13-T13)</f>
        <v>6</v>
      </c>
      <c r="V13" s="144">
        <f t="shared" ref="V13:V14" si="70">T13/2</f>
        <v>25</v>
      </c>
      <c r="W13" s="143">
        <v>425</v>
      </c>
      <c r="X13" s="145">
        <f t="shared" ref="X13:X14" si="71">AD13*50%</f>
        <v>5737.5</v>
      </c>
      <c r="Y13" s="145">
        <f t="shared" ref="Y13:Y14" si="72">AD13*20%</f>
        <v>2295</v>
      </c>
      <c r="Z13" s="145">
        <f t="shared" ref="Z13:Z14" si="73">AD13*10%</f>
        <v>1147.5</v>
      </c>
      <c r="AA13" s="145">
        <f t="shared" ref="AA13:AA14" si="74">AD13*10%</f>
        <v>1147.5</v>
      </c>
      <c r="AB13" s="145">
        <f t="shared" ref="AB13:AB14" si="75">AD13*10%</f>
        <v>1147.5</v>
      </c>
      <c r="AC13" s="146">
        <f t="shared" ref="AC13:AC14" si="76">W13/8</f>
        <v>53.125</v>
      </c>
      <c r="AD13" s="147">
        <f t="shared" si="8"/>
        <v>11475</v>
      </c>
      <c r="AE13" s="139">
        <f t="shared" si="9"/>
        <v>5737.5</v>
      </c>
      <c r="AF13" s="139">
        <f t="shared" si="10"/>
        <v>2295</v>
      </c>
      <c r="AG13" s="139">
        <f t="shared" si="11"/>
        <v>1147.5</v>
      </c>
      <c r="AH13" s="139">
        <f t="shared" si="12"/>
        <v>1147.5</v>
      </c>
      <c r="AI13" s="139">
        <f t="shared" si="13"/>
        <v>1147.5</v>
      </c>
      <c r="AJ13" s="145">
        <f t="shared" ref="AJ13:AJ14" si="77">SUM(U13*AC13)</f>
        <v>318.75</v>
      </c>
      <c r="AK13" s="145">
        <f t="shared" ref="AK13:AK14" si="78">SUM(T13*AC13)</f>
        <v>2656.25</v>
      </c>
      <c r="AL13" s="191">
        <f t="shared" ref="AL13:AL14" si="79">SUM(AE13:AK13)</f>
        <v>14450</v>
      </c>
      <c r="AM13" s="145">
        <v>0</v>
      </c>
      <c r="AN13" s="145">
        <v>0</v>
      </c>
      <c r="AO13" s="145">
        <v>0</v>
      </c>
      <c r="AP13" s="145">
        <v>0</v>
      </c>
      <c r="AQ13" s="145">
        <v>0</v>
      </c>
      <c r="AR13" s="145">
        <f t="shared" ref="AR13:AR14" si="80">SUM(AN13:AQ13)</f>
        <v>0</v>
      </c>
      <c r="AS13" s="145">
        <f t="shared" ref="AS13:AS14" si="81">+AL13-AR13</f>
        <v>14450</v>
      </c>
      <c r="AT13" s="145"/>
      <c r="AU13" s="145">
        <v>0</v>
      </c>
      <c r="AV13" s="145">
        <v>0</v>
      </c>
      <c r="AW13" s="148">
        <v>0</v>
      </c>
      <c r="AX13" s="149">
        <f t="shared" ref="AX13:AX14" si="82">AW13-AP13</f>
        <v>0</v>
      </c>
      <c r="AY13" s="150"/>
    </row>
    <row r="14" spans="2:57" s="57" customFormat="1" ht="21" thickBot="1" x14ac:dyDescent="0.35">
      <c r="B14" s="139">
        <v>15</v>
      </c>
      <c r="C14" s="139"/>
      <c r="D14" s="176">
        <v>10203</v>
      </c>
      <c r="E14" s="141" t="s">
        <v>50</v>
      </c>
      <c r="F14" t="s">
        <v>290</v>
      </c>
      <c r="G14" s="141" t="s">
        <v>77</v>
      </c>
      <c r="H14" s="141" t="s">
        <v>275</v>
      </c>
      <c r="I14" s="155"/>
      <c r="J14" s="142"/>
      <c r="K14" s="142"/>
      <c r="L14" s="142"/>
      <c r="M14" s="143">
        <v>22</v>
      </c>
      <c r="N14" s="143">
        <v>0</v>
      </c>
      <c r="O14" s="143">
        <v>0</v>
      </c>
      <c r="P14" s="143">
        <v>0</v>
      </c>
      <c r="Q14" s="143">
        <v>0</v>
      </c>
      <c r="R14" s="144">
        <f t="shared" si="67"/>
        <v>22</v>
      </c>
      <c r="S14" s="143">
        <v>57.5</v>
      </c>
      <c r="T14" s="144">
        <f t="shared" si="68"/>
        <v>50</v>
      </c>
      <c r="U14" s="144">
        <f t="shared" si="69"/>
        <v>7.5</v>
      </c>
      <c r="V14" s="144">
        <f t="shared" si="70"/>
        <v>25</v>
      </c>
      <c r="W14" s="143">
        <v>425</v>
      </c>
      <c r="X14" s="145">
        <f t="shared" si="71"/>
        <v>5737.5</v>
      </c>
      <c r="Y14" s="145">
        <f t="shared" si="72"/>
        <v>2295</v>
      </c>
      <c r="Z14" s="145">
        <f t="shared" si="73"/>
        <v>1147.5</v>
      </c>
      <c r="AA14" s="145">
        <f t="shared" si="74"/>
        <v>1147.5</v>
      </c>
      <c r="AB14" s="145">
        <f t="shared" si="75"/>
        <v>1147.5</v>
      </c>
      <c r="AC14" s="146">
        <f t="shared" si="76"/>
        <v>53.125</v>
      </c>
      <c r="AD14" s="147">
        <f t="shared" si="8"/>
        <v>11475</v>
      </c>
      <c r="AE14" s="139">
        <f t="shared" si="9"/>
        <v>4675</v>
      </c>
      <c r="AF14" s="139">
        <f t="shared" si="10"/>
        <v>1870</v>
      </c>
      <c r="AG14" s="139">
        <f t="shared" si="11"/>
        <v>935</v>
      </c>
      <c r="AH14" s="139">
        <f t="shared" si="12"/>
        <v>935</v>
      </c>
      <c r="AI14" s="139">
        <f t="shared" si="13"/>
        <v>935</v>
      </c>
      <c r="AJ14" s="145">
        <f t="shared" si="77"/>
        <v>398.4375</v>
      </c>
      <c r="AK14" s="145">
        <f t="shared" si="78"/>
        <v>2656.25</v>
      </c>
      <c r="AL14" s="191">
        <f t="shared" si="79"/>
        <v>12404.6875</v>
      </c>
      <c r="AM14" s="145">
        <v>0</v>
      </c>
      <c r="AN14" s="145">
        <v>0</v>
      </c>
      <c r="AO14" s="145">
        <v>0</v>
      </c>
      <c r="AP14" s="145">
        <v>0</v>
      </c>
      <c r="AQ14" s="145">
        <v>0</v>
      </c>
      <c r="AR14" s="145">
        <f t="shared" si="80"/>
        <v>0</v>
      </c>
      <c r="AS14" s="145">
        <f t="shared" si="81"/>
        <v>12404.6875</v>
      </c>
      <c r="AT14" s="145"/>
      <c r="AU14" s="145">
        <v>0</v>
      </c>
      <c r="AV14" s="145">
        <v>0</v>
      </c>
      <c r="AW14" s="148">
        <v>0</v>
      </c>
      <c r="AX14" s="149">
        <f t="shared" si="82"/>
        <v>0</v>
      </c>
      <c r="AY14" s="150"/>
    </row>
    <row r="15" spans="2:57" s="57" customFormat="1" ht="21" thickBot="1" x14ac:dyDescent="0.35">
      <c r="B15" s="139">
        <v>16</v>
      </c>
      <c r="C15" s="139"/>
      <c r="D15" s="176">
        <v>10204</v>
      </c>
      <c r="E15" s="141" t="s">
        <v>50</v>
      </c>
      <c r="F15" t="s">
        <v>302</v>
      </c>
      <c r="G15" s="141" t="s">
        <v>77</v>
      </c>
      <c r="H15" s="141" t="s">
        <v>273</v>
      </c>
      <c r="I15" s="155"/>
      <c r="J15" s="142"/>
      <c r="K15" s="142"/>
      <c r="L15" s="142"/>
      <c r="M15" s="143">
        <v>19</v>
      </c>
      <c r="N15" s="143">
        <v>0</v>
      </c>
      <c r="O15" s="143">
        <v>0</v>
      </c>
      <c r="P15" s="143">
        <v>0</v>
      </c>
      <c r="Q15" s="143">
        <v>0</v>
      </c>
      <c r="R15" s="144">
        <f t="shared" ref="R15:R18" si="83">SUM(M15:Q15)</f>
        <v>19</v>
      </c>
      <c r="S15" s="143">
        <v>58.5</v>
      </c>
      <c r="T15" s="144">
        <f t="shared" ref="T15:T18" si="84">IF(S15&lt;=50,S15,IF(S15&gt;=50,50,))</f>
        <v>50</v>
      </c>
      <c r="U15" s="144">
        <f t="shared" ref="U15:U18" si="85">SUM(S15-T15)</f>
        <v>8.5</v>
      </c>
      <c r="V15" s="144">
        <f t="shared" ref="V15:V18" si="86">T15/2</f>
        <v>25</v>
      </c>
      <c r="W15" s="143">
        <v>425</v>
      </c>
      <c r="X15" s="145">
        <f t="shared" ref="X15:X18" si="87">AD15*50%</f>
        <v>5737.5</v>
      </c>
      <c r="Y15" s="145">
        <f t="shared" ref="Y15:Y18" si="88">AD15*20%</f>
        <v>2295</v>
      </c>
      <c r="Z15" s="145">
        <f t="shared" ref="Z15:Z18" si="89">AD15*10%</f>
        <v>1147.5</v>
      </c>
      <c r="AA15" s="145">
        <f t="shared" ref="AA15:AA18" si="90">AD15*10%</f>
        <v>1147.5</v>
      </c>
      <c r="AB15" s="145">
        <f t="shared" ref="AB15:AB18" si="91">AD15*10%</f>
        <v>1147.5</v>
      </c>
      <c r="AC15" s="146">
        <f t="shared" ref="AC15:AC18" si="92">W15/8</f>
        <v>53.125</v>
      </c>
      <c r="AD15" s="147">
        <f t="shared" si="8"/>
        <v>11475</v>
      </c>
      <c r="AE15" s="139">
        <f t="shared" si="9"/>
        <v>4037.5</v>
      </c>
      <c r="AF15" s="139">
        <f t="shared" si="10"/>
        <v>1615</v>
      </c>
      <c r="AG15" s="139">
        <f t="shared" si="11"/>
        <v>807.5</v>
      </c>
      <c r="AH15" s="139">
        <f t="shared" si="12"/>
        <v>807.5</v>
      </c>
      <c r="AI15" s="139">
        <f t="shared" si="13"/>
        <v>807.5</v>
      </c>
      <c r="AJ15" s="145">
        <f t="shared" ref="AJ15:AJ18" si="93">SUM(U15*AC15)</f>
        <v>451.5625</v>
      </c>
      <c r="AK15" s="145">
        <f t="shared" ref="AK15:AK18" si="94">SUM(T15*AC15)</f>
        <v>2656.25</v>
      </c>
      <c r="AL15" s="191">
        <f t="shared" ref="AL15:AL18" si="95">SUM(AE15:AK15)</f>
        <v>11182.8125</v>
      </c>
      <c r="AM15" s="145">
        <v>0</v>
      </c>
      <c r="AN15" s="145">
        <v>0</v>
      </c>
      <c r="AO15" s="145">
        <v>0</v>
      </c>
      <c r="AP15" s="145">
        <v>0</v>
      </c>
      <c r="AQ15" s="145">
        <v>0</v>
      </c>
      <c r="AR15" s="145">
        <f t="shared" ref="AR15:AR18" si="96">SUM(AN15:AQ15)</f>
        <v>0</v>
      </c>
      <c r="AS15" s="145">
        <f t="shared" ref="AS15:AS18" si="97">+AL15-AR15</f>
        <v>11182.8125</v>
      </c>
      <c r="AT15" s="145"/>
      <c r="AU15" s="145">
        <v>0</v>
      </c>
      <c r="AV15" s="145">
        <v>0</v>
      </c>
      <c r="AW15" s="148">
        <v>0</v>
      </c>
      <c r="AX15" s="149">
        <f t="shared" ref="AX15:AX18" si="98">AW15-AP15</f>
        <v>0</v>
      </c>
      <c r="AY15" s="150"/>
    </row>
    <row r="16" spans="2:57" s="57" customFormat="1" ht="21" thickBot="1" x14ac:dyDescent="0.35">
      <c r="B16" s="139">
        <v>17</v>
      </c>
      <c r="C16" s="139"/>
      <c r="D16" s="176">
        <v>10205</v>
      </c>
      <c r="E16" s="141" t="s">
        <v>50</v>
      </c>
      <c r="F16" t="s">
        <v>303</v>
      </c>
      <c r="G16" s="141" t="s">
        <v>77</v>
      </c>
      <c r="H16" s="141" t="s">
        <v>273</v>
      </c>
      <c r="I16" s="155"/>
      <c r="J16" s="142"/>
      <c r="K16" s="142"/>
      <c r="L16" s="142"/>
      <c r="M16" s="143">
        <v>18</v>
      </c>
      <c r="N16" s="143">
        <v>0</v>
      </c>
      <c r="O16" s="143">
        <v>0</v>
      </c>
      <c r="P16" s="143">
        <v>0</v>
      </c>
      <c r="Q16" s="143">
        <v>0</v>
      </c>
      <c r="R16" s="144">
        <f t="shared" si="83"/>
        <v>18</v>
      </c>
      <c r="S16" s="143">
        <v>43.5</v>
      </c>
      <c r="T16" s="144">
        <f t="shared" si="84"/>
        <v>43.5</v>
      </c>
      <c r="U16" s="144">
        <f t="shared" si="85"/>
        <v>0</v>
      </c>
      <c r="V16" s="144">
        <f t="shared" si="86"/>
        <v>21.75</v>
      </c>
      <c r="W16" s="143">
        <v>425</v>
      </c>
      <c r="X16" s="145">
        <f t="shared" si="87"/>
        <v>5737.5</v>
      </c>
      <c r="Y16" s="145">
        <f t="shared" si="88"/>
        <v>2295</v>
      </c>
      <c r="Z16" s="145">
        <f t="shared" si="89"/>
        <v>1147.5</v>
      </c>
      <c r="AA16" s="145">
        <f t="shared" si="90"/>
        <v>1147.5</v>
      </c>
      <c r="AB16" s="145">
        <f t="shared" si="91"/>
        <v>1147.5</v>
      </c>
      <c r="AC16" s="146">
        <f t="shared" si="92"/>
        <v>53.125</v>
      </c>
      <c r="AD16" s="147">
        <f t="shared" si="8"/>
        <v>11475</v>
      </c>
      <c r="AE16" s="139">
        <f t="shared" si="9"/>
        <v>3825</v>
      </c>
      <c r="AF16" s="139">
        <f t="shared" si="10"/>
        <v>1530</v>
      </c>
      <c r="AG16" s="139">
        <f t="shared" si="11"/>
        <v>765</v>
      </c>
      <c r="AH16" s="139">
        <f t="shared" si="12"/>
        <v>765</v>
      </c>
      <c r="AI16" s="139">
        <f t="shared" si="13"/>
        <v>765</v>
      </c>
      <c r="AJ16" s="145">
        <f t="shared" si="93"/>
        <v>0</v>
      </c>
      <c r="AK16" s="145">
        <f t="shared" si="94"/>
        <v>2310.9375</v>
      </c>
      <c r="AL16" s="191">
        <f t="shared" si="95"/>
        <v>9960.9375</v>
      </c>
      <c r="AM16" s="145">
        <v>0</v>
      </c>
      <c r="AN16" s="145">
        <v>0</v>
      </c>
      <c r="AO16" s="145">
        <v>0</v>
      </c>
      <c r="AP16" s="145">
        <v>0</v>
      </c>
      <c r="AQ16" s="145">
        <v>0</v>
      </c>
      <c r="AR16" s="145">
        <f t="shared" si="96"/>
        <v>0</v>
      </c>
      <c r="AS16" s="145">
        <f t="shared" si="97"/>
        <v>9960.9375</v>
      </c>
      <c r="AT16" s="145"/>
      <c r="AU16" s="145">
        <v>0</v>
      </c>
      <c r="AV16" s="145">
        <v>0</v>
      </c>
      <c r="AW16" s="148">
        <v>0</v>
      </c>
      <c r="AX16" s="149">
        <f t="shared" si="98"/>
        <v>0</v>
      </c>
      <c r="AY16" s="150"/>
    </row>
    <row r="17" spans="2:51" s="57" customFormat="1" ht="21" thickBot="1" x14ac:dyDescent="0.35">
      <c r="B17" s="139">
        <v>18</v>
      </c>
      <c r="C17" s="139"/>
      <c r="D17" s="176">
        <v>10206</v>
      </c>
      <c r="E17" s="141" t="s">
        <v>50</v>
      </c>
      <c r="F17" t="s">
        <v>304</v>
      </c>
      <c r="G17" s="141" t="s">
        <v>77</v>
      </c>
      <c r="H17" s="141" t="s">
        <v>273</v>
      </c>
      <c r="I17" s="155"/>
      <c r="J17" s="142"/>
      <c r="K17" s="142"/>
      <c r="L17" s="142"/>
      <c r="M17" s="143">
        <v>27</v>
      </c>
      <c r="N17" s="143">
        <v>0</v>
      </c>
      <c r="O17" s="143">
        <v>0</v>
      </c>
      <c r="P17" s="143">
        <v>0</v>
      </c>
      <c r="Q17" s="143">
        <v>0</v>
      </c>
      <c r="R17" s="144">
        <f t="shared" si="83"/>
        <v>27</v>
      </c>
      <c r="S17" s="143">
        <v>94</v>
      </c>
      <c r="T17" s="144">
        <f t="shared" si="84"/>
        <v>50</v>
      </c>
      <c r="U17" s="144">
        <f t="shared" si="85"/>
        <v>44</v>
      </c>
      <c r="V17" s="144">
        <f t="shared" si="86"/>
        <v>25</v>
      </c>
      <c r="W17" s="143">
        <v>425</v>
      </c>
      <c r="X17" s="145">
        <f t="shared" si="87"/>
        <v>5737.5</v>
      </c>
      <c r="Y17" s="145">
        <f t="shared" si="88"/>
        <v>2295</v>
      </c>
      <c r="Z17" s="145">
        <f t="shared" si="89"/>
        <v>1147.5</v>
      </c>
      <c r="AA17" s="145">
        <f t="shared" si="90"/>
        <v>1147.5</v>
      </c>
      <c r="AB17" s="145">
        <f t="shared" si="91"/>
        <v>1147.5</v>
      </c>
      <c r="AC17" s="146">
        <f t="shared" si="92"/>
        <v>53.125</v>
      </c>
      <c r="AD17" s="147">
        <f t="shared" si="8"/>
        <v>11475</v>
      </c>
      <c r="AE17" s="139">
        <f t="shared" si="9"/>
        <v>5737.5</v>
      </c>
      <c r="AF17" s="139">
        <f t="shared" si="10"/>
        <v>2295</v>
      </c>
      <c r="AG17" s="139">
        <f t="shared" si="11"/>
        <v>1147.5</v>
      </c>
      <c r="AH17" s="139">
        <f t="shared" si="12"/>
        <v>1147.5</v>
      </c>
      <c r="AI17" s="139">
        <f t="shared" si="13"/>
        <v>1147.5</v>
      </c>
      <c r="AJ17" s="145">
        <f t="shared" si="93"/>
        <v>2337.5</v>
      </c>
      <c r="AK17" s="145">
        <f t="shared" si="94"/>
        <v>2656.25</v>
      </c>
      <c r="AL17" s="191">
        <f t="shared" si="95"/>
        <v>16468.75</v>
      </c>
      <c r="AM17" s="145">
        <v>0</v>
      </c>
      <c r="AN17" s="145">
        <v>0</v>
      </c>
      <c r="AO17" s="145">
        <v>0</v>
      </c>
      <c r="AP17" s="145">
        <v>0</v>
      </c>
      <c r="AQ17" s="145">
        <v>0</v>
      </c>
      <c r="AR17" s="145">
        <f t="shared" si="96"/>
        <v>0</v>
      </c>
      <c r="AS17" s="145">
        <f t="shared" si="97"/>
        <v>16468.75</v>
      </c>
      <c r="AT17" s="145"/>
      <c r="AU17" s="145">
        <v>0</v>
      </c>
      <c r="AV17" s="145">
        <v>0</v>
      </c>
      <c r="AW17" s="148">
        <v>0</v>
      </c>
      <c r="AX17" s="149">
        <f t="shared" si="98"/>
        <v>0</v>
      </c>
      <c r="AY17" s="150"/>
    </row>
    <row r="18" spans="2:51" s="57" customFormat="1" ht="21" thickBot="1" x14ac:dyDescent="0.35">
      <c r="B18" s="139">
        <v>19</v>
      </c>
      <c r="C18" s="139"/>
      <c r="D18" s="176">
        <v>10207</v>
      </c>
      <c r="E18" s="141" t="s">
        <v>50</v>
      </c>
      <c r="F18" s="189" t="s">
        <v>188</v>
      </c>
      <c r="G18" s="141" t="s">
        <v>77</v>
      </c>
      <c r="H18" s="141" t="s">
        <v>273</v>
      </c>
      <c r="I18" s="155"/>
      <c r="J18" s="142"/>
      <c r="K18" s="142"/>
      <c r="L18" s="142"/>
      <c r="M18" s="143">
        <v>5</v>
      </c>
      <c r="N18" s="143">
        <v>0</v>
      </c>
      <c r="O18" s="143">
        <v>0</v>
      </c>
      <c r="P18" s="143">
        <v>0</v>
      </c>
      <c r="Q18" s="143">
        <v>0</v>
      </c>
      <c r="R18" s="144">
        <f t="shared" si="83"/>
        <v>5</v>
      </c>
      <c r="S18" s="143">
        <v>21.5</v>
      </c>
      <c r="T18" s="144">
        <f t="shared" si="84"/>
        <v>21.5</v>
      </c>
      <c r="U18" s="144">
        <f t="shared" si="85"/>
        <v>0</v>
      </c>
      <c r="V18" s="144">
        <f t="shared" si="86"/>
        <v>10.75</v>
      </c>
      <c r="W18" s="143">
        <v>425</v>
      </c>
      <c r="X18" s="145">
        <f t="shared" si="87"/>
        <v>5737.5</v>
      </c>
      <c r="Y18" s="145">
        <f t="shared" si="88"/>
        <v>2295</v>
      </c>
      <c r="Z18" s="145">
        <f t="shared" si="89"/>
        <v>1147.5</v>
      </c>
      <c r="AA18" s="145">
        <f t="shared" si="90"/>
        <v>1147.5</v>
      </c>
      <c r="AB18" s="145">
        <f t="shared" si="91"/>
        <v>1147.5</v>
      </c>
      <c r="AC18" s="146">
        <f t="shared" si="92"/>
        <v>53.125</v>
      </c>
      <c r="AD18" s="147">
        <f t="shared" si="8"/>
        <v>11475</v>
      </c>
      <c r="AE18" s="139">
        <f t="shared" si="9"/>
        <v>1062.5</v>
      </c>
      <c r="AF18" s="139">
        <f t="shared" si="10"/>
        <v>425</v>
      </c>
      <c r="AG18" s="139">
        <f t="shared" si="11"/>
        <v>212.5</v>
      </c>
      <c r="AH18" s="139">
        <f t="shared" si="12"/>
        <v>212.5</v>
      </c>
      <c r="AI18" s="139">
        <f t="shared" si="13"/>
        <v>212.5</v>
      </c>
      <c r="AJ18" s="145">
        <f t="shared" si="93"/>
        <v>0</v>
      </c>
      <c r="AK18" s="145">
        <f t="shared" si="94"/>
        <v>1142.1875</v>
      </c>
      <c r="AL18" s="191">
        <f t="shared" si="95"/>
        <v>3267.1875</v>
      </c>
      <c r="AM18" s="145">
        <v>0</v>
      </c>
      <c r="AN18" s="145">
        <v>0</v>
      </c>
      <c r="AO18" s="145">
        <v>0</v>
      </c>
      <c r="AP18" s="145">
        <v>0</v>
      </c>
      <c r="AQ18" s="145">
        <v>0</v>
      </c>
      <c r="AR18" s="145">
        <f t="shared" si="96"/>
        <v>0</v>
      </c>
      <c r="AS18" s="145">
        <f t="shared" si="97"/>
        <v>3267.1875</v>
      </c>
      <c r="AT18" s="145"/>
      <c r="AU18" s="145">
        <v>0</v>
      </c>
      <c r="AV18" s="145">
        <v>0</v>
      </c>
      <c r="AW18" s="148">
        <v>0</v>
      </c>
      <c r="AX18" s="149">
        <f t="shared" si="98"/>
        <v>0</v>
      </c>
      <c r="AY18" s="150"/>
    </row>
    <row r="19" spans="2:51" s="57" customFormat="1" ht="21" thickBot="1" x14ac:dyDescent="0.35">
      <c r="B19" s="139">
        <v>20</v>
      </c>
      <c r="C19" s="139"/>
      <c r="D19" s="154">
        <v>10614</v>
      </c>
      <c r="E19" s="141" t="s">
        <v>50</v>
      </c>
      <c r="F19" s="160" t="s">
        <v>226</v>
      </c>
      <c r="G19" s="141" t="s">
        <v>274</v>
      </c>
      <c r="H19" s="141" t="s">
        <v>275</v>
      </c>
      <c r="I19" s="155">
        <v>45341</v>
      </c>
      <c r="J19" s="142"/>
      <c r="K19" s="142">
        <v>46109</v>
      </c>
      <c r="L19" s="142" t="str">
        <f t="shared" ref="L19:L32" si="99">DATEDIF(I19,K19,"y")&amp;" years,"&amp;DATEDIF(I19,K19,"ym")&amp;" months"</f>
        <v>2 years,1 months</v>
      </c>
      <c r="M19" s="143">
        <v>27</v>
      </c>
      <c r="N19" s="143">
        <v>0</v>
      </c>
      <c r="O19" s="143">
        <v>0</v>
      </c>
      <c r="P19" s="143">
        <v>0</v>
      </c>
      <c r="Q19" s="143">
        <v>0</v>
      </c>
      <c r="R19" s="144">
        <f t="shared" si="7"/>
        <v>27</v>
      </c>
      <c r="S19" s="143">
        <v>90</v>
      </c>
      <c r="T19" s="144">
        <f t="shared" si="33"/>
        <v>50</v>
      </c>
      <c r="U19" s="144">
        <f t="shared" ref="U19:U32" si="100">SUM(S19-T19)</f>
        <v>40</v>
      </c>
      <c r="V19" s="144">
        <f t="shared" ref="V19:V32" si="101">T19/2</f>
        <v>25</v>
      </c>
      <c r="W19" s="143">
        <v>510</v>
      </c>
      <c r="X19" s="145">
        <f t="shared" ref="X19:X32" si="102">AD19*50%</f>
        <v>6885</v>
      </c>
      <c r="Y19" s="145">
        <f t="shared" ref="Y19:Y32" si="103">AD19*20%</f>
        <v>2754</v>
      </c>
      <c r="Z19" s="145">
        <f t="shared" ref="Z19:Z32" si="104">AD19*10%</f>
        <v>1377</v>
      </c>
      <c r="AA19" s="145">
        <f t="shared" ref="AA19:AA32" si="105">AD19*10%</f>
        <v>1377</v>
      </c>
      <c r="AB19" s="145">
        <f t="shared" ref="AB19:AB32" si="106">AD19*10%</f>
        <v>1377</v>
      </c>
      <c r="AC19" s="146">
        <f t="shared" ref="AC19:AC32" si="107">W19/8</f>
        <v>63.75</v>
      </c>
      <c r="AD19" s="147">
        <f t="shared" si="8"/>
        <v>13770</v>
      </c>
      <c r="AE19" s="139">
        <f t="shared" si="9"/>
        <v>6885</v>
      </c>
      <c r="AF19" s="139">
        <f t="shared" si="10"/>
        <v>2754</v>
      </c>
      <c r="AG19" s="139">
        <f t="shared" si="11"/>
        <v>1377</v>
      </c>
      <c r="AH19" s="139">
        <f t="shared" si="12"/>
        <v>1377</v>
      </c>
      <c r="AI19" s="139">
        <f t="shared" si="13"/>
        <v>1377</v>
      </c>
      <c r="AJ19" s="145">
        <f t="shared" si="14"/>
        <v>2550</v>
      </c>
      <c r="AK19" s="145">
        <f t="shared" ref="AK19:AK32" si="108">SUM(T19*AC19)</f>
        <v>3187.5</v>
      </c>
      <c r="AL19" s="191">
        <f t="shared" ref="AL19:AL32" si="109">SUM(AE19:AK19)</f>
        <v>19507.5</v>
      </c>
      <c r="AM19" s="145">
        <v>0</v>
      </c>
      <c r="AN19" s="145">
        <v>0</v>
      </c>
      <c r="AO19" s="145">
        <v>0</v>
      </c>
      <c r="AP19" s="145">
        <v>0</v>
      </c>
      <c r="AQ19" s="145">
        <v>0</v>
      </c>
      <c r="AR19" s="145">
        <f t="shared" ref="AR19:AR32" si="110">SUM(AN19:AQ19)</f>
        <v>0</v>
      </c>
      <c r="AS19" s="145">
        <f t="shared" ref="AS19:AS32" si="111">+AL19-AR19</f>
        <v>19507.5</v>
      </c>
      <c r="AT19" s="145"/>
      <c r="AU19" s="145"/>
      <c r="AV19" s="145">
        <v>0</v>
      </c>
      <c r="AW19" s="148">
        <v>0</v>
      </c>
      <c r="AX19" s="149">
        <f t="shared" ref="AX19:AX32" si="112">AW19-AP19</f>
        <v>0</v>
      </c>
      <c r="AY19" s="150"/>
    </row>
    <row r="20" spans="2:51" s="57" customFormat="1" ht="21" thickBot="1" x14ac:dyDescent="0.35">
      <c r="B20" s="139">
        <v>21</v>
      </c>
      <c r="C20" s="139"/>
      <c r="D20" s="154">
        <v>10615</v>
      </c>
      <c r="E20" s="141" t="s">
        <v>50</v>
      </c>
      <c r="F20" s="162" t="s">
        <v>227</v>
      </c>
      <c r="G20" s="163" t="s">
        <v>274</v>
      </c>
      <c r="H20" s="163" t="s">
        <v>275</v>
      </c>
      <c r="I20" s="155">
        <v>45859</v>
      </c>
      <c r="J20" s="164"/>
      <c r="K20" s="164">
        <v>46109</v>
      </c>
      <c r="L20" s="164" t="str">
        <f t="shared" si="99"/>
        <v>0 years,8 months</v>
      </c>
      <c r="M20" s="143">
        <v>25</v>
      </c>
      <c r="N20" s="143">
        <v>0</v>
      </c>
      <c r="O20" s="143">
        <v>0</v>
      </c>
      <c r="P20" s="143">
        <v>0</v>
      </c>
      <c r="Q20" s="143">
        <v>0</v>
      </c>
      <c r="R20" s="144">
        <f t="shared" si="7"/>
        <v>25</v>
      </c>
      <c r="S20" s="143">
        <v>88</v>
      </c>
      <c r="T20" s="144">
        <f t="shared" si="33"/>
        <v>50</v>
      </c>
      <c r="U20" s="144">
        <f t="shared" si="100"/>
        <v>38</v>
      </c>
      <c r="V20" s="144">
        <f t="shared" si="101"/>
        <v>25</v>
      </c>
      <c r="W20" s="143">
        <v>500</v>
      </c>
      <c r="X20" s="145">
        <f t="shared" si="102"/>
        <v>6750</v>
      </c>
      <c r="Y20" s="145">
        <f t="shared" si="103"/>
        <v>2700</v>
      </c>
      <c r="Z20" s="145">
        <f t="shared" si="104"/>
        <v>1350</v>
      </c>
      <c r="AA20" s="145">
        <f t="shared" si="105"/>
        <v>1350</v>
      </c>
      <c r="AB20" s="145">
        <f t="shared" si="106"/>
        <v>1350</v>
      </c>
      <c r="AC20" s="146">
        <f t="shared" si="107"/>
        <v>62.5</v>
      </c>
      <c r="AD20" s="147">
        <f t="shared" si="8"/>
        <v>13500</v>
      </c>
      <c r="AE20" s="139">
        <f t="shared" si="9"/>
        <v>6250</v>
      </c>
      <c r="AF20" s="139">
        <f t="shared" si="10"/>
        <v>2500</v>
      </c>
      <c r="AG20" s="139">
        <f t="shared" si="11"/>
        <v>1250</v>
      </c>
      <c r="AH20" s="139">
        <f t="shared" si="12"/>
        <v>1250</v>
      </c>
      <c r="AI20" s="139">
        <f t="shared" si="13"/>
        <v>1250</v>
      </c>
      <c r="AJ20" s="145">
        <f t="shared" si="14"/>
        <v>2375</v>
      </c>
      <c r="AK20" s="145">
        <f t="shared" si="108"/>
        <v>3125</v>
      </c>
      <c r="AL20" s="191">
        <f t="shared" si="109"/>
        <v>18000</v>
      </c>
      <c r="AM20" s="145">
        <v>0</v>
      </c>
      <c r="AN20" s="145">
        <v>0</v>
      </c>
      <c r="AO20" s="145">
        <v>0</v>
      </c>
      <c r="AP20" s="145">
        <v>0</v>
      </c>
      <c r="AQ20" s="145">
        <v>0</v>
      </c>
      <c r="AR20" s="145">
        <f t="shared" si="110"/>
        <v>0</v>
      </c>
      <c r="AS20" s="145">
        <f t="shared" si="111"/>
        <v>18000</v>
      </c>
      <c r="AT20" s="145"/>
      <c r="AU20" s="145"/>
      <c r="AV20" s="145">
        <v>0</v>
      </c>
      <c r="AW20" s="148">
        <v>0</v>
      </c>
      <c r="AX20" s="149">
        <f t="shared" si="112"/>
        <v>0</v>
      </c>
      <c r="AY20" s="150"/>
    </row>
    <row r="21" spans="2:51" ht="21" thickBot="1" x14ac:dyDescent="0.35">
      <c r="B21" s="139">
        <v>22</v>
      </c>
      <c r="C21" s="4"/>
      <c r="D21" s="154">
        <v>10617</v>
      </c>
      <c r="E21" s="6" t="s">
        <v>50</v>
      </c>
      <c r="F21" s="136" t="s">
        <v>286</v>
      </c>
      <c r="G21" s="6" t="s">
        <v>274</v>
      </c>
      <c r="H21" s="6" t="s">
        <v>275</v>
      </c>
      <c r="I21" s="168">
        <v>45496</v>
      </c>
      <c r="J21" s="5"/>
      <c r="K21" s="5">
        <v>46021</v>
      </c>
      <c r="L21" s="5" t="str">
        <f t="shared" si="99"/>
        <v>1 years,5 months</v>
      </c>
      <c r="M21" s="143">
        <v>24</v>
      </c>
      <c r="N21" s="143">
        <v>0</v>
      </c>
      <c r="O21" s="143">
        <v>0</v>
      </c>
      <c r="P21" s="1">
        <v>0</v>
      </c>
      <c r="Q21" s="1">
        <v>0</v>
      </c>
      <c r="R21" s="2">
        <f t="shared" si="7"/>
        <v>24</v>
      </c>
      <c r="S21" s="143">
        <v>68.5</v>
      </c>
      <c r="T21" s="2">
        <f t="shared" si="33"/>
        <v>50</v>
      </c>
      <c r="U21" s="2">
        <f t="shared" si="100"/>
        <v>18.5</v>
      </c>
      <c r="V21" s="2">
        <f t="shared" si="101"/>
        <v>25</v>
      </c>
      <c r="W21" s="1">
        <v>860</v>
      </c>
      <c r="X21" s="3">
        <f t="shared" si="102"/>
        <v>11610</v>
      </c>
      <c r="Y21" s="3">
        <f t="shared" si="103"/>
        <v>4644</v>
      </c>
      <c r="Z21" s="3">
        <f t="shared" si="104"/>
        <v>2322</v>
      </c>
      <c r="AA21" s="3">
        <f t="shared" si="105"/>
        <v>2322</v>
      </c>
      <c r="AB21" s="3">
        <f t="shared" si="106"/>
        <v>2322</v>
      </c>
      <c r="AC21" s="7">
        <f t="shared" si="107"/>
        <v>107.5</v>
      </c>
      <c r="AD21" s="147">
        <f t="shared" si="8"/>
        <v>23220</v>
      </c>
      <c r="AE21" s="139">
        <f t="shared" si="9"/>
        <v>10320</v>
      </c>
      <c r="AF21" s="139">
        <f t="shared" si="10"/>
        <v>4128</v>
      </c>
      <c r="AG21" s="139">
        <f t="shared" si="11"/>
        <v>2064</v>
      </c>
      <c r="AH21" s="139">
        <f t="shared" si="12"/>
        <v>2064</v>
      </c>
      <c r="AI21" s="139">
        <f t="shared" si="13"/>
        <v>2064</v>
      </c>
      <c r="AJ21" s="3">
        <f t="shared" si="14"/>
        <v>1988.75</v>
      </c>
      <c r="AK21" s="3">
        <f t="shared" si="108"/>
        <v>5375</v>
      </c>
      <c r="AL21" s="191">
        <f t="shared" si="109"/>
        <v>28003.75</v>
      </c>
      <c r="AM21" s="3">
        <v>0</v>
      </c>
      <c r="AN21" s="3">
        <v>0</v>
      </c>
      <c r="AO21" s="3">
        <v>0</v>
      </c>
      <c r="AP21" s="3">
        <v>1000</v>
      </c>
      <c r="AQ21" s="3">
        <v>0</v>
      </c>
      <c r="AR21" s="3">
        <f t="shared" si="110"/>
        <v>1000</v>
      </c>
      <c r="AS21" s="3">
        <f t="shared" si="111"/>
        <v>27003.75</v>
      </c>
      <c r="AT21" s="3"/>
      <c r="AU21" s="3"/>
      <c r="AV21" s="3">
        <v>16000</v>
      </c>
      <c r="AW21" s="3">
        <v>16000</v>
      </c>
      <c r="AX21" s="46">
        <f t="shared" si="112"/>
        <v>15000</v>
      </c>
      <c r="AY21" s="150"/>
    </row>
    <row r="22" spans="2:51" ht="21" thickBot="1" x14ac:dyDescent="0.35">
      <c r="B22" s="139">
        <v>23</v>
      </c>
      <c r="C22" s="4"/>
      <c r="D22" s="154">
        <v>10623</v>
      </c>
      <c r="E22" s="6" t="s">
        <v>50</v>
      </c>
      <c r="F22" s="136" t="s">
        <v>287</v>
      </c>
      <c r="G22" s="6" t="s">
        <v>274</v>
      </c>
      <c r="H22" s="6" t="s">
        <v>275</v>
      </c>
      <c r="I22" s="168">
        <v>45955</v>
      </c>
      <c r="J22" s="5"/>
      <c r="K22" s="5">
        <v>46021</v>
      </c>
      <c r="L22" s="5" t="str">
        <f t="shared" si="99"/>
        <v>0 years,2 months</v>
      </c>
      <c r="M22" s="143">
        <v>25.5</v>
      </c>
      <c r="N22" s="143">
        <v>0</v>
      </c>
      <c r="O22" s="143">
        <v>0</v>
      </c>
      <c r="P22" s="1">
        <v>0</v>
      </c>
      <c r="Q22" s="1">
        <v>0</v>
      </c>
      <c r="R22" s="2">
        <f t="shared" si="7"/>
        <v>25.5</v>
      </c>
      <c r="S22" s="143">
        <v>87</v>
      </c>
      <c r="T22" s="2">
        <f t="shared" si="33"/>
        <v>50</v>
      </c>
      <c r="U22" s="2">
        <f t="shared" si="100"/>
        <v>37</v>
      </c>
      <c r="V22" s="2">
        <f t="shared" si="101"/>
        <v>25</v>
      </c>
      <c r="W22" s="1">
        <v>600</v>
      </c>
      <c r="X22" s="3">
        <f t="shared" si="102"/>
        <v>8100</v>
      </c>
      <c r="Y22" s="3">
        <f t="shared" si="103"/>
        <v>3240</v>
      </c>
      <c r="Z22" s="3">
        <f t="shared" si="104"/>
        <v>1620</v>
      </c>
      <c r="AA22" s="3">
        <f t="shared" si="105"/>
        <v>1620</v>
      </c>
      <c r="AB22" s="3">
        <f t="shared" si="106"/>
        <v>1620</v>
      </c>
      <c r="AC22" s="7">
        <f t="shared" si="107"/>
        <v>75</v>
      </c>
      <c r="AD22" s="147">
        <f t="shared" si="8"/>
        <v>16200</v>
      </c>
      <c r="AE22" s="139">
        <f t="shared" si="9"/>
        <v>7650</v>
      </c>
      <c r="AF22" s="139">
        <f t="shared" si="10"/>
        <v>3060</v>
      </c>
      <c r="AG22" s="139">
        <f t="shared" si="11"/>
        <v>1530</v>
      </c>
      <c r="AH22" s="139">
        <f t="shared" si="12"/>
        <v>1530</v>
      </c>
      <c r="AI22" s="139">
        <f t="shared" si="13"/>
        <v>1530</v>
      </c>
      <c r="AJ22" s="3">
        <f t="shared" si="14"/>
        <v>2775</v>
      </c>
      <c r="AK22" s="3">
        <f t="shared" si="108"/>
        <v>3750</v>
      </c>
      <c r="AL22" s="191">
        <f t="shared" si="109"/>
        <v>21825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f t="shared" si="110"/>
        <v>0</v>
      </c>
      <c r="AS22" s="3">
        <f t="shared" si="111"/>
        <v>21825</v>
      </c>
      <c r="AT22" s="3"/>
      <c r="AU22" s="3"/>
      <c r="AV22" s="3">
        <v>0</v>
      </c>
      <c r="AW22" s="43">
        <v>0</v>
      </c>
      <c r="AX22" s="46">
        <f t="shared" si="112"/>
        <v>0</v>
      </c>
      <c r="AY22" s="150"/>
    </row>
    <row r="23" spans="2:51" ht="21" thickBot="1" x14ac:dyDescent="0.35">
      <c r="B23" s="139">
        <v>24</v>
      </c>
      <c r="C23" s="4"/>
      <c r="D23" s="176">
        <v>10618</v>
      </c>
      <c r="E23" s="6" t="s">
        <v>50</v>
      </c>
      <c r="F23" s="189" t="s">
        <v>305</v>
      </c>
      <c r="G23" s="6" t="s">
        <v>274</v>
      </c>
      <c r="H23" s="166" t="s">
        <v>276</v>
      </c>
      <c r="I23" s="188"/>
      <c r="J23" s="15"/>
      <c r="K23" s="15"/>
      <c r="L23" s="15"/>
      <c r="M23" s="143">
        <v>26</v>
      </c>
      <c r="N23" s="143">
        <v>0</v>
      </c>
      <c r="O23" s="143">
        <v>0</v>
      </c>
      <c r="P23" s="1">
        <v>0</v>
      </c>
      <c r="Q23" s="1">
        <v>0</v>
      </c>
      <c r="R23" s="2">
        <f t="shared" ref="R23" si="113">SUM(M23:Q23)</f>
        <v>26</v>
      </c>
      <c r="S23" s="143">
        <v>62.5</v>
      </c>
      <c r="T23" s="2">
        <f t="shared" ref="T23" si="114">IF(S23&lt;=50,S23,IF(S23&gt;=50,50,))</f>
        <v>50</v>
      </c>
      <c r="U23" s="2">
        <f t="shared" ref="U23" si="115">SUM(S23-T23)</f>
        <v>12.5</v>
      </c>
      <c r="V23" s="2">
        <f t="shared" ref="V23" si="116">T23/2</f>
        <v>25</v>
      </c>
      <c r="W23" s="1">
        <v>675</v>
      </c>
      <c r="X23" s="3">
        <f t="shared" ref="X23" si="117">AD23*50%</f>
        <v>9112.5</v>
      </c>
      <c r="Y23" s="3">
        <f t="shared" ref="Y23" si="118">AD23*20%</f>
        <v>3645</v>
      </c>
      <c r="Z23" s="3">
        <f t="shared" ref="Z23" si="119">AD23*10%</f>
        <v>1822.5</v>
      </c>
      <c r="AA23" s="3">
        <f t="shared" ref="AA23" si="120">AD23*10%</f>
        <v>1822.5</v>
      </c>
      <c r="AB23" s="3">
        <f t="shared" ref="AB23" si="121">AD23*10%</f>
        <v>1822.5</v>
      </c>
      <c r="AC23" s="7">
        <f t="shared" ref="AC23" si="122">W23/8</f>
        <v>84.375</v>
      </c>
      <c r="AD23" s="147">
        <f t="shared" si="8"/>
        <v>18225</v>
      </c>
      <c r="AE23" s="139">
        <f t="shared" si="9"/>
        <v>8775</v>
      </c>
      <c r="AF23" s="139">
        <f t="shared" si="10"/>
        <v>3510</v>
      </c>
      <c r="AG23" s="139">
        <f t="shared" si="11"/>
        <v>1755</v>
      </c>
      <c r="AH23" s="139">
        <f t="shared" si="12"/>
        <v>1755</v>
      </c>
      <c r="AI23" s="139">
        <f t="shared" si="13"/>
        <v>1755</v>
      </c>
      <c r="AJ23" s="3">
        <f t="shared" ref="AJ23" si="123">SUM(U23*AC23)</f>
        <v>1054.6875</v>
      </c>
      <c r="AK23" s="3">
        <f t="shared" ref="AK23" si="124">SUM(T23*AC23)</f>
        <v>4218.75</v>
      </c>
      <c r="AL23" s="191">
        <f t="shared" ref="AL23" si="125">SUM(AE23:AK23)</f>
        <v>22823.4375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f t="shared" ref="AR23" si="126">SUM(AN23:AQ23)</f>
        <v>0</v>
      </c>
      <c r="AS23" s="3">
        <f t="shared" ref="AS23" si="127">+AL23-AR23</f>
        <v>22823.4375</v>
      </c>
      <c r="AT23" s="3"/>
      <c r="AU23" s="3"/>
      <c r="AV23" s="3">
        <v>0</v>
      </c>
      <c r="AW23" s="43">
        <v>0</v>
      </c>
      <c r="AX23" s="46">
        <f t="shared" ref="AX23" si="128">AW23-AP23</f>
        <v>0</v>
      </c>
      <c r="AY23" s="150"/>
    </row>
    <row r="24" spans="2:51" ht="21" thickBot="1" x14ac:dyDescent="0.35">
      <c r="B24" s="139">
        <v>25</v>
      </c>
      <c r="C24" s="4"/>
      <c r="D24" s="176">
        <v>10624</v>
      </c>
      <c r="E24" s="6" t="s">
        <v>50</v>
      </c>
      <c r="F24" t="s">
        <v>301</v>
      </c>
      <c r="G24" s="6" t="s">
        <v>274</v>
      </c>
      <c r="H24" s="166" t="s">
        <v>276</v>
      </c>
      <c r="I24" s="188"/>
      <c r="J24" s="15"/>
      <c r="K24" s="15"/>
      <c r="L24" s="15"/>
      <c r="M24" s="143">
        <v>27</v>
      </c>
      <c r="N24" s="143">
        <v>0</v>
      </c>
      <c r="O24" s="143">
        <v>0</v>
      </c>
      <c r="P24" s="1">
        <v>0</v>
      </c>
      <c r="Q24" s="1">
        <v>0</v>
      </c>
      <c r="R24" s="2">
        <f t="shared" ref="R24" si="129">SUM(M24:Q24)</f>
        <v>27</v>
      </c>
      <c r="S24" s="143">
        <v>78</v>
      </c>
      <c r="T24" s="2">
        <f t="shared" ref="T24" si="130">IF(S24&lt;=50,S24,IF(S24&gt;=50,50,))</f>
        <v>50</v>
      </c>
      <c r="U24" s="2">
        <f t="shared" ref="U24" si="131">SUM(S24-T24)</f>
        <v>28</v>
      </c>
      <c r="V24" s="2">
        <f t="shared" ref="V24" si="132">T24/2</f>
        <v>25</v>
      </c>
      <c r="W24" s="1">
        <v>450</v>
      </c>
      <c r="X24" s="3">
        <f t="shared" ref="X24" si="133">AD24*50%</f>
        <v>6075</v>
      </c>
      <c r="Y24" s="3">
        <f t="shared" ref="Y24" si="134">AD24*20%</f>
        <v>2430</v>
      </c>
      <c r="Z24" s="3">
        <f t="shared" ref="Z24" si="135">AD24*10%</f>
        <v>1215</v>
      </c>
      <c r="AA24" s="3">
        <f t="shared" ref="AA24" si="136">AD24*10%</f>
        <v>1215</v>
      </c>
      <c r="AB24" s="3">
        <f t="shared" ref="AB24" si="137">AD24*10%</f>
        <v>1215</v>
      </c>
      <c r="AC24" s="7">
        <f t="shared" ref="AC24" si="138">W24/8</f>
        <v>56.25</v>
      </c>
      <c r="AD24" s="147">
        <f t="shared" si="8"/>
        <v>12150</v>
      </c>
      <c r="AE24" s="139">
        <f t="shared" si="9"/>
        <v>6075</v>
      </c>
      <c r="AF24" s="139">
        <f t="shared" si="10"/>
        <v>2430</v>
      </c>
      <c r="AG24" s="139">
        <f t="shared" si="11"/>
        <v>1215</v>
      </c>
      <c r="AH24" s="139">
        <f t="shared" si="12"/>
        <v>1215</v>
      </c>
      <c r="AI24" s="139">
        <f t="shared" si="13"/>
        <v>1215</v>
      </c>
      <c r="AJ24" s="3">
        <f t="shared" ref="AJ24" si="139">SUM(U24*AC24)</f>
        <v>1575</v>
      </c>
      <c r="AK24" s="3">
        <f t="shared" ref="AK24" si="140">SUM(T24*AC24)</f>
        <v>2812.5</v>
      </c>
      <c r="AL24" s="191">
        <f t="shared" ref="AL24" si="141">SUM(AE24:AK24)</f>
        <v>16537.5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f t="shared" ref="AR24" si="142">SUM(AN24:AQ24)</f>
        <v>0</v>
      </c>
      <c r="AS24" s="3">
        <f t="shared" ref="AS24" si="143">+AL24-AR24</f>
        <v>16537.5</v>
      </c>
      <c r="AT24" s="3"/>
      <c r="AU24" s="3"/>
      <c r="AV24" s="3">
        <v>0</v>
      </c>
      <c r="AW24" s="43">
        <v>0</v>
      </c>
      <c r="AX24" s="46">
        <f t="shared" ref="AX24" si="144">AW24-AP24</f>
        <v>0</v>
      </c>
      <c r="AY24" s="150"/>
    </row>
    <row r="25" spans="2:51" ht="21" thickBot="1" x14ac:dyDescent="0.35">
      <c r="B25" s="139"/>
      <c r="C25" s="4"/>
      <c r="D25" s="176">
        <v>10626</v>
      </c>
      <c r="E25" s="6" t="s">
        <v>50</v>
      </c>
      <c r="F25" s="189" t="s">
        <v>311</v>
      </c>
      <c r="G25" s="6" t="s">
        <v>274</v>
      </c>
      <c r="H25" s="166" t="s">
        <v>276</v>
      </c>
      <c r="I25" s="188"/>
      <c r="J25" s="15"/>
      <c r="K25" s="15"/>
      <c r="L25" s="15"/>
      <c r="M25" s="143">
        <v>4</v>
      </c>
      <c r="N25" s="143">
        <v>0</v>
      </c>
      <c r="O25" s="143">
        <v>0</v>
      </c>
      <c r="P25" s="1">
        <v>0</v>
      </c>
      <c r="Q25" s="1">
        <v>0</v>
      </c>
      <c r="R25" s="2">
        <f t="shared" ref="R25" si="145">SUM(M25:Q25)</f>
        <v>4</v>
      </c>
      <c r="S25" s="143">
        <v>8.5</v>
      </c>
      <c r="T25" s="2">
        <f t="shared" ref="T25" si="146">IF(S25&lt;=50,S25,IF(S25&gt;=50,50,))</f>
        <v>8.5</v>
      </c>
      <c r="U25" s="2">
        <f t="shared" ref="U25" si="147">SUM(S25-T25)</f>
        <v>0</v>
      </c>
      <c r="V25" s="2">
        <f t="shared" ref="V25" si="148">T25/2</f>
        <v>4.25</v>
      </c>
      <c r="W25" s="1">
        <v>450</v>
      </c>
      <c r="X25" s="3">
        <f t="shared" ref="X25" si="149">AD25*50%</f>
        <v>6075</v>
      </c>
      <c r="Y25" s="3">
        <f t="shared" ref="Y25" si="150">AD25*20%</f>
        <v>2430</v>
      </c>
      <c r="Z25" s="3">
        <f t="shared" ref="Z25" si="151">AD25*10%</f>
        <v>1215</v>
      </c>
      <c r="AA25" s="3">
        <f t="shared" ref="AA25" si="152">AD25*10%</f>
        <v>1215</v>
      </c>
      <c r="AB25" s="3">
        <f t="shared" ref="AB25" si="153">AD25*10%</f>
        <v>1215</v>
      </c>
      <c r="AC25" s="7">
        <f t="shared" ref="AC25" si="154">W25/8</f>
        <v>56.25</v>
      </c>
      <c r="AD25" s="147">
        <f t="shared" si="8"/>
        <v>12150</v>
      </c>
      <c r="AE25" s="139">
        <f t="shared" si="9"/>
        <v>900</v>
      </c>
      <c r="AF25" s="139">
        <f t="shared" si="10"/>
        <v>360</v>
      </c>
      <c r="AG25" s="139">
        <f t="shared" si="11"/>
        <v>180</v>
      </c>
      <c r="AH25" s="139">
        <f t="shared" si="12"/>
        <v>180</v>
      </c>
      <c r="AI25" s="139">
        <f t="shared" si="13"/>
        <v>180</v>
      </c>
      <c r="AJ25" s="3">
        <f t="shared" ref="AJ25" si="155">SUM(U25*AC25)</f>
        <v>0</v>
      </c>
      <c r="AK25" s="3">
        <f t="shared" ref="AK25" si="156">SUM(T25*AC25)</f>
        <v>478.125</v>
      </c>
      <c r="AL25" s="191">
        <f t="shared" ref="AL25" si="157">SUM(AE25:AK25)</f>
        <v>2278.125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f t="shared" ref="AR25" si="158">SUM(AN25:AQ25)</f>
        <v>0</v>
      </c>
      <c r="AS25" s="3">
        <f t="shared" ref="AS25" si="159">+AL25-AR25</f>
        <v>2278.125</v>
      </c>
      <c r="AT25" s="3"/>
      <c r="AU25" s="3"/>
      <c r="AV25" s="3">
        <v>0</v>
      </c>
      <c r="AW25" s="43">
        <v>0</v>
      </c>
      <c r="AX25" s="46">
        <f t="shared" ref="AX25" si="160">AW25-AP25</f>
        <v>0</v>
      </c>
      <c r="AY25" s="150"/>
    </row>
    <row r="26" spans="2:51" s="57" customFormat="1" ht="21" thickBot="1" x14ac:dyDescent="0.35">
      <c r="B26" s="139">
        <v>26</v>
      </c>
      <c r="C26" s="139"/>
      <c r="D26" s="139">
        <v>10501</v>
      </c>
      <c r="E26" s="141" t="s">
        <v>50</v>
      </c>
      <c r="F26" s="165" t="s">
        <v>234</v>
      </c>
      <c r="G26" s="6" t="s">
        <v>274</v>
      </c>
      <c r="H26" s="166" t="s">
        <v>276</v>
      </c>
      <c r="I26" s="155">
        <v>38729</v>
      </c>
      <c r="J26" s="167"/>
      <c r="K26" s="167">
        <v>46109</v>
      </c>
      <c r="L26" s="167" t="str">
        <f t="shared" si="99"/>
        <v>20 years,2 months</v>
      </c>
      <c r="M26" s="143">
        <v>27</v>
      </c>
      <c r="N26" s="143">
        <v>0</v>
      </c>
      <c r="O26" s="143">
        <v>0</v>
      </c>
      <c r="P26" s="143">
        <v>0</v>
      </c>
      <c r="Q26" s="143">
        <v>0</v>
      </c>
      <c r="R26" s="144">
        <f t="shared" si="7"/>
        <v>27</v>
      </c>
      <c r="S26" s="143">
        <v>0</v>
      </c>
      <c r="T26" s="144">
        <f t="shared" si="33"/>
        <v>0</v>
      </c>
      <c r="U26" s="144">
        <f t="shared" si="100"/>
        <v>0</v>
      </c>
      <c r="V26" s="144">
        <f t="shared" si="101"/>
        <v>0</v>
      </c>
      <c r="W26" s="143">
        <v>14000</v>
      </c>
      <c r="X26" s="145">
        <f t="shared" si="102"/>
        <v>7000</v>
      </c>
      <c r="Y26" s="145">
        <f t="shared" si="103"/>
        <v>2800</v>
      </c>
      <c r="Z26" s="145">
        <f t="shared" si="104"/>
        <v>1400</v>
      </c>
      <c r="AA26" s="145">
        <f t="shared" si="105"/>
        <v>1400</v>
      </c>
      <c r="AB26" s="145">
        <f t="shared" si="106"/>
        <v>1400</v>
      </c>
      <c r="AC26" s="146">
        <f t="shared" si="107"/>
        <v>1750</v>
      </c>
      <c r="AD26" s="147">
        <v>14000</v>
      </c>
      <c r="AE26" s="139">
        <f t="shared" si="9"/>
        <v>6999.9999999999991</v>
      </c>
      <c r="AF26" s="139">
        <f t="shared" si="10"/>
        <v>2800</v>
      </c>
      <c r="AG26" s="139">
        <f t="shared" si="11"/>
        <v>1400</v>
      </c>
      <c r="AH26" s="139">
        <f t="shared" si="12"/>
        <v>1400</v>
      </c>
      <c r="AI26" s="139">
        <f t="shared" si="13"/>
        <v>1400</v>
      </c>
      <c r="AJ26" s="145">
        <f t="shared" si="14"/>
        <v>0</v>
      </c>
      <c r="AK26" s="145">
        <f t="shared" si="108"/>
        <v>0</v>
      </c>
      <c r="AL26" s="191">
        <f t="shared" si="109"/>
        <v>14000</v>
      </c>
      <c r="AM26" s="145">
        <v>0</v>
      </c>
      <c r="AN26" s="145">
        <v>0</v>
      </c>
      <c r="AO26" s="145">
        <v>0</v>
      </c>
      <c r="AP26" s="145">
        <v>0</v>
      </c>
      <c r="AQ26" s="145">
        <v>0</v>
      </c>
      <c r="AR26" s="145">
        <f t="shared" si="110"/>
        <v>0</v>
      </c>
      <c r="AS26" s="145">
        <f t="shared" si="111"/>
        <v>14000</v>
      </c>
      <c r="AT26" s="145"/>
      <c r="AU26" s="145"/>
      <c r="AV26" s="145">
        <v>0</v>
      </c>
      <c r="AW26" s="148">
        <v>0</v>
      </c>
      <c r="AX26" s="149">
        <f t="shared" si="112"/>
        <v>0</v>
      </c>
      <c r="AY26" s="150"/>
    </row>
    <row r="27" spans="2:51" s="57" customFormat="1" ht="21" thickBot="1" x14ac:dyDescent="0.35">
      <c r="B27" s="139">
        <v>27</v>
      </c>
      <c r="C27" s="139"/>
      <c r="D27" s="139">
        <v>10000</v>
      </c>
      <c r="E27" s="141" t="s">
        <v>50</v>
      </c>
      <c r="F27" s="160" t="s">
        <v>222</v>
      </c>
      <c r="G27" s="6" t="s">
        <v>274</v>
      </c>
      <c r="H27" s="141" t="s">
        <v>276</v>
      </c>
      <c r="I27" s="155">
        <v>45378</v>
      </c>
      <c r="J27" s="142"/>
      <c r="K27" s="142">
        <v>46109</v>
      </c>
      <c r="L27" s="142" t="str">
        <f t="shared" si="99"/>
        <v>2 years,0 months</v>
      </c>
      <c r="M27" s="143">
        <v>22</v>
      </c>
      <c r="N27" s="143">
        <v>0</v>
      </c>
      <c r="O27" s="143">
        <v>0</v>
      </c>
      <c r="P27" s="143">
        <v>0</v>
      </c>
      <c r="Q27" s="143">
        <v>0</v>
      </c>
      <c r="R27" s="144">
        <f t="shared" si="7"/>
        <v>22</v>
      </c>
      <c r="S27" s="143">
        <v>0</v>
      </c>
      <c r="T27" s="144">
        <f t="shared" si="33"/>
        <v>0</v>
      </c>
      <c r="U27" s="144">
        <f t="shared" si="100"/>
        <v>0</v>
      </c>
      <c r="V27" s="144">
        <f t="shared" si="101"/>
        <v>0</v>
      </c>
      <c r="W27" s="143">
        <v>540</v>
      </c>
      <c r="X27" s="145">
        <f t="shared" si="102"/>
        <v>7290</v>
      </c>
      <c r="Y27" s="145">
        <f t="shared" si="103"/>
        <v>2916</v>
      </c>
      <c r="Z27" s="145">
        <f t="shared" si="104"/>
        <v>1458</v>
      </c>
      <c r="AA27" s="145">
        <f t="shared" si="105"/>
        <v>1458</v>
      </c>
      <c r="AB27" s="145">
        <f t="shared" si="106"/>
        <v>1458</v>
      </c>
      <c r="AC27" s="146">
        <f t="shared" si="107"/>
        <v>67.5</v>
      </c>
      <c r="AD27" s="147">
        <f t="shared" si="8"/>
        <v>14580</v>
      </c>
      <c r="AE27" s="139">
        <f t="shared" si="9"/>
        <v>5940</v>
      </c>
      <c r="AF27" s="139">
        <f t="shared" si="10"/>
        <v>2376</v>
      </c>
      <c r="AG27" s="139">
        <f t="shared" si="11"/>
        <v>1188</v>
      </c>
      <c r="AH27" s="139">
        <f t="shared" si="12"/>
        <v>1188</v>
      </c>
      <c r="AI27" s="139">
        <f t="shared" si="13"/>
        <v>1188</v>
      </c>
      <c r="AJ27" s="145">
        <f t="shared" si="14"/>
        <v>0</v>
      </c>
      <c r="AK27" s="145">
        <f t="shared" si="108"/>
        <v>0</v>
      </c>
      <c r="AL27" s="191">
        <f t="shared" si="109"/>
        <v>11880</v>
      </c>
      <c r="AM27" s="145">
        <v>0</v>
      </c>
      <c r="AN27" s="145">
        <v>0</v>
      </c>
      <c r="AO27" s="145">
        <v>0</v>
      </c>
      <c r="AP27" s="145">
        <v>1000</v>
      </c>
      <c r="AQ27" s="145">
        <v>0</v>
      </c>
      <c r="AR27" s="145">
        <f t="shared" si="110"/>
        <v>1000</v>
      </c>
      <c r="AS27" s="145">
        <f t="shared" si="111"/>
        <v>10880</v>
      </c>
      <c r="AT27" s="145"/>
      <c r="AU27" s="145"/>
      <c r="AV27" s="145">
        <v>3000</v>
      </c>
      <c r="AW27" s="148">
        <v>3000</v>
      </c>
      <c r="AX27" s="149">
        <f t="shared" si="112"/>
        <v>2000</v>
      </c>
      <c r="AY27" s="150"/>
    </row>
    <row r="28" spans="2:51" s="57" customFormat="1" ht="21" thickBot="1" x14ac:dyDescent="0.35">
      <c r="B28" s="139">
        <v>28</v>
      </c>
      <c r="C28" s="139"/>
      <c r="D28" s="139">
        <v>10001</v>
      </c>
      <c r="E28" s="141" t="s">
        <v>50</v>
      </c>
      <c r="F28" s="160" t="s">
        <v>223</v>
      </c>
      <c r="G28" s="6" t="s">
        <v>274</v>
      </c>
      <c r="H28" s="141" t="s">
        <v>276</v>
      </c>
      <c r="I28" s="155">
        <v>45453</v>
      </c>
      <c r="J28" s="142"/>
      <c r="K28" s="142">
        <v>46109</v>
      </c>
      <c r="L28" s="142" t="str">
        <f t="shared" si="99"/>
        <v>1 years,9 months</v>
      </c>
      <c r="M28" s="143">
        <v>23</v>
      </c>
      <c r="N28" s="143">
        <v>0</v>
      </c>
      <c r="O28" s="143">
        <v>0</v>
      </c>
      <c r="P28" s="143">
        <v>0</v>
      </c>
      <c r="Q28" s="143">
        <v>0</v>
      </c>
      <c r="R28" s="144">
        <f t="shared" si="7"/>
        <v>23</v>
      </c>
      <c r="S28" s="143">
        <v>0</v>
      </c>
      <c r="T28" s="144">
        <f t="shared" si="33"/>
        <v>0</v>
      </c>
      <c r="U28" s="144">
        <f t="shared" si="100"/>
        <v>0</v>
      </c>
      <c r="V28" s="144">
        <f t="shared" si="101"/>
        <v>0</v>
      </c>
      <c r="W28" s="143">
        <v>640</v>
      </c>
      <c r="X28" s="145">
        <f t="shared" si="102"/>
        <v>8640</v>
      </c>
      <c r="Y28" s="145">
        <f t="shared" si="103"/>
        <v>3456</v>
      </c>
      <c r="Z28" s="145">
        <f t="shared" si="104"/>
        <v>1728</v>
      </c>
      <c r="AA28" s="145">
        <f t="shared" si="105"/>
        <v>1728</v>
      </c>
      <c r="AB28" s="145">
        <f t="shared" si="106"/>
        <v>1728</v>
      </c>
      <c r="AC28" s="146">
        <f t="shared" si="107"/>
        <v>80</v>
      </c>
      <c r="AD28" s="147">
        <f t="shared" si="8"/>
        <v>17280</v>
      </c>
      <c r="AE28" s="139">
        <f t="shared" si="9"/>
        <v>7360</v>
      </c>
      <c r="AF28" s="139">
        <f t="shared" si="10"/>
        <v>2944</v>
      </c>
      <c r="AG28" s="139">
        <f t="shared" si="11"/>
        <v>1472</v>
      </c>
      <c r="AH28" s="139">
        <f t="shared" si="12"/>
        <v>1472</v>
      </c>
      <c r="AI28" s="139">
        <f t="shared" si="13"/>
        <v>1472</v>
      </c>
      <c r="AJ28" s="145">
        <f t="shared" si="14"/>
        <v>0</v>
      </c>
      <c r="AK28" s="145">
        <f t="shared" si="108"/>
        <v>0</v>
      </c>
      <c r="AL28" s="191">
        <f t="shared" si="109"/>
        <v>14720</v>
      </c>
      <c r="AM28" s="145">
        <v>0</v>
      </c>
      <c r="AN28" s="145">
        <v>0</v>
      </c>
      <c r="AO28" s="145">
        <v>0</v>
      </c>
      <c r="AP28" s="145">
        <v>1000</v>
      </c>
      <c r="AQ28" s="145">
        <v>0</v>
      </c>
      <c r="AR28" s="145">
        <f t="shared" si="110"/>
        <v>1000</v>
      </c>
      <c r="AS28" s="145">
        <f t="shared" si="111"/>
        <v>13720</v>
      </c>
      <c r="AT28" s="145"/>
      <c r="AU28" s="145"/>
      <c r="AV28" s="145">
        <v>6000</v>
      </c>
      <c r="AW28" s="148">
        <v>6000</v>
      </c>
      <c r="AX28" s="149">
        <f t="shared" si="112"/>
        <v>5000</v>
      </c>
      <c r="AY28" s="150"/>
    </row>
    <row r="29" spans="2:51" s="57" customFormat="1" ht="21" thickBot="1" x14ac:dyDescent="0.35">
      <c r="B29" s="139">
        <v>29</v>
      </c>
      <c r="C29" s="139"/>
      <c r="D29" s="154">
        <v>10506</v>
      </c>
      <c r="E29" s="141" t="s">
        <v>50</v>
      </c>
      <c r="F29" s="160" t="s">
        <v>235</v>
      </c>
      <c r="G29" s="6" t="s">
        <v>274</v>
      </c>
      <c r="H29" s="141" t="s">
        <v>276</v>
      </c>
      <c r="I29" s="155">
        <v>42738</v>
      </c>
      <c r="J29" s="142"/>
      <c r="K29" s="142">
        <v>46109</v>
      </c>
      <c r="L29" s="142" t="str">
        <f t="shared" si="99"/>
        <v>9 years,2 months</v>
      </c>
      <c r="M29" s="143">
        <v>7</v>
      </c>
      <c r="N29" s="143">
        <v>0</v>
      </c>
      <c r="O29" s="143">
        <v>2</v>
      </c>
      <c r="P29" s="143">
        <v>0</v>
      </c>
      <c r="Q29" s="143">
        <v>0</v>
      </c>
      <c r="R29" s="144">
        <f t="shared" si="7"/>
        <v>9</v>
      </c>
      <c r="S29" s="143">
        <v>0</v>
      </c>
      <c r="T29" s="144">
        <f t="shared" si="33"/>
        <v>0</v>
      </c>
      <c r="U29" s="144">
        <f t="shared" si="100"/>
        <v>0</v>
      </c>
      <c r="V29" s="144">
        <f t="shared" si="101"/>
        <v>0</v>
      </c>
      <c r="W29" s="143">
        <v>490</v>
      </c>
      <c r="X29" s="145">
        <f t="shared" si="102"/>
        <v>6615</v>
      </c>
      <c r="Y29" s="145">
        <f t="shared" si="103"/>
        <v>2646</v>
      </c>
      <c r="Z29" s="145">
        <f t="shared" si="104"/>
        <v>1323</v>
      </c>
      <c r="AA29" s="145">
        <f t="shared" si="105"/>
        <v>1323</v>
      </c>
      <c r="AB29" s="145">
        <f t="shared" si="106"/>
        <v>1323</v>
      </c>
      <c r="AC29" s="146">
        <f t="shared" si="107"/>
        <v>61.25</v>
      </c>
      <c r="AD29" s="147">
        <f t="shared" si="8"/>
        <v>13230</v>
      </c>
      <c r="AE29" s="139">
        <f t="shared" si="9"/>
        <v>2205</v>
      </c>
      <c r="AF29" s="139">
        <f t="shared" si="10"/>
        <v>882</v>
      </c>
      <c r="AG29" s="139">
        <f t="shared" si="11"/>
        <v>441</v>
      </c>
      <c r="AH29" s="139">
        <f t="shared" si="12"/>
        <v>441</v>
      </c>
      <c r="AI29" s="139">
        <f t="shared" si="13"/>
        <v>441</v>
      </c>
      <c r="AJ29" s="145">
        <f t="shared" si="14"/>
        <v>0</v>
      </c>
      <c r="AK29" s="145">
        <f t="shared" si="108"/>
        <v>0</v>
      </c>
      <c r="AL29" s="191">
        <f t="shared" si="109"/>
        <v>4410</v>
      </c>
      <c r="AM29" s="145">
        <v>0</v>
      </c>
      <c r="AN29" s="145">
        <v>0</v>
      </c>
      <c r="AO29" s="145">
        <v>0</v>
      </c>
      <c r="AP29" s="145">
        <v>0</v>
      </c>
      <c r="AQ29" s="145">
        <v>0</v>
      </c>
      <c r="AR29" s="145">
        <f t="shared" si="110"/>
        <v>0</v>
      </c>
      <c r="AS29" s="145">
        <f t="shared" si="111"/>
        <v>4410</v>
      </c>
      <c r="AT29" s="145"/>
      <c r="AU29" s="145"/>
      <c r="AV29" s="145">
        <v>0</v>
      </c>
      <c r="AW29" s="148">
        <v>0</v>
      </c>
      <c r="AX29" s="149">
        <f t="shared" si="112"/>
        <v>0</v>
      </c>
      <c r="AY29" s="150"/>
    </row>
    <row r="30" spans="2:51" s="57" customFormat="1" ht="21" thickBot="1" x14ac:dyDescent="0.35">
      <c r="B30" s="139">
        <v>30</v>
      </c>
      <c r="C30" s="139"/>
      <c r="D30" s="154">
        <v>10511</v>
      </c>
      <c r="E30" s="141" t="s">
        <v>50</v>
      </c>
      <c r="F30" s="160" t="s">
        <v>236</v>
      </c>
      <c r="G30" s="6" t="s">
        <v>274</v>
      </c>
      <c r="H30" s="141" t="s">
        <v>276</v>
      </c>
      <c r="I30" s="155">
        <v>44585</v>
      </c>
      <c r="J30" s="142"/>
      <c r="K30" s="142">
        <v>46109</v>
      </c>
      <c r="L30" s="142" t="str">
        <f t="shared" si="99"/>
        <v>4 years,2 months</v>
      </c>
      <c r="M30" s="143">
        <v>27</v>
      </c>
      <c r="N30" s="143">
        <v>0</v>
      </c>
      <c r="O30" s="143">
        <v>0</v>
      </c>
      <c r="P30" s="143">
        <v>0</v>
      </c>
      <c r="Q30" s="143">
        <v>0</v>
      </c>
      <c r="R30" s="144">
        <f t="shared" si="7"/>
        <v>27</v>
      </c>
      <c r="S30" s="143">
        <v>45</v>
      </c>
      <c r="T30" s="144">
        <f t="shared" si="33"/>
        <v>45</v>
      </c>
      <c r="U30" s="144">
        <f t="shared" si="100"/>
        <v>0</v>
      </c>
      <c r="V30" s="144">
        <f t="shared" si="101"/>
        <v>22.5</v>
      </c>
      <c r="W30" s="143">
        <v>430</v>
      </c>
      <c r="X30" s="145">
        <f t="shared" si="102"/>
        <v>5805</v>
      </c>
      <c r="Y30" s="145">
        <f t="shared" si="103"/>
        <v>2322</v>
      </c>
      <c r="Z30" s="145">
        <f t="shared" si="104"/>
        <v>1161</v>
      </c>
      <c r="AA30" s="145">
        <f t="shared" si="105"/>
        <v>1161</v>
      </c>
      <c r="AB30" s="145">
        <f t="shared" si="106"/>
        <v>1161</v>
      </c>
      <c r="AC30" s="146">
        <f t="shared" si="107"/>
        <v>53.75</v>
      </c>
      <c r="AD30" s="147">
        <f t="shared" si="8"/>
        <v>11610</v>
      </c>
      <c r="AE30" s="139">
        <f t="shared" si="9"/>
        <v>5805</v>
      </c>
      <c r="AF30" s="139">
        <f t="shared" si="10"/>
        <v>2322</v>
      </c>
      <c r="AG30" s="139">
        <f t="shared" si="11"/>
        <v>1161</v>
      </c>
      <c r="AH30" s="139">
        <f t="shared" si="12"/>
        <v>1161</v>
      </c>
      <c r="AI30" s="139">
        <f t="shared" si="13"/>
        <v>1161</v>
      </c>
      <c r="AJ30" s="145">
        <f t="shared" si="14"/>
        <v>0</v>
      </c>
      <c r="AK30" s="145">
        <f t="shared" si="108"/>
        <v>2418.75</v>
      </c>
      <c r="AL30" s="191">
        <f t="shared" si="109"/>
        <v>14028.75</v>
      </c>
      <c r="AM30" s="145">
        <v>0</v>
      </c>
      <c r="AN30" s="145">
        <v>0</v>
      </c>
      <c r="AO30" s="145">
        <v>0</v>
      </c>
      <c r="AP30" s="145">
        <v>0</v>
      </c>
      <c r="AQ30" s="145">
        <v>0</v>
      </c>
      <c r="AR30" s="145">
        <f t="shared" si="110"/>
        <v>0</v>
      </c>
      <c r="AS30" s="145">
        <f t="shared" si="111"/>
        <v>14028.75</v>
      </c>
      <c r="AT30" s="145"/>
      <c r="AU30" s="145"/>
      <c r="AV30" s="145">
        <v>0</v>
      </c>
      <c r="AW30" s="148">
        <v>0</v>
      </c>
      <c r="AX30" s="149">
        <f t="shared" si="112"/>
        <v>0</v>
      </c>
      <c r="AY30" s="150"/>
    </row>
    <row r="31" spans="2:51" s="57" customFormat="1" ht="21" thickBot="1" x14ac:dyDescent="0.35">
      <c r="B31" s="139">
        <v>31</v>
      </c>
      <c r="C31" s="139"/>
      <c r="D31" s="154">
        <v>10513</v>
      </c>
      <c r="E31" s="141" t="s">
        <v>50</v>
      </c>
      <c r="F31" s="160" t="s">
        <v>237</v>
      </c>
      <c r="G31" s="6" t="s">
        <v>274</v>
      </c>
      <c r="H31" s="141" t="s">
        <v>276</v>
      </c>
      <c r="I31" s="155">
        <v>44796</v>
      </c>
      <c r="J31" s="142"/>
      <c r="K31" s="142">
        <v>46109</v>
      </c>
      <c r="L31" s="142" t="str">
        <f t="shared" ref="L31" si="161">DATEDIF(I31,K31,"y")&amp;" years,"&amp;DATEDIF(I31,K31,"ym")&amp;" months"</f>
        <v>3 years,7 months</v>
      </c>
      <c r="M31" s="143">
        <v>27</v>
      </c>
      <c r="N31" s="143">
        <v>0</v>
      </c>
      <c r="O31" s="143">
        <v>0</v>
      </c>
      <c r="P31" s="143">
        <v>0</v>
      </c>
      <c r="Q31" s="143">
        <v>0</v>
      </c>
      <c r="R31" s="144">
        <f>SUM(M31:Q31)</f>
        <v>27</v>
      </c>
      <c r="S31" s="143">
        <v>185</v>
      </c>
      <c r="T31" s="144">
        <f t="shared" ref="T31" si="162">IF(S31&lt;=50,S31,IF(S31&gt;=50,50,))</f>
        <v>50</v>
      </c>
      <c r="U31" s="144">
        <f t="shared" ref="U31" si="163">SUM(S31-T31)</f>
        <v>135</v>
      </c>
      <c r="V31" s="144">
        <f t="shared" ref="V31" si="164">T31/2</f>
        <v>25</v>
      </c>
      <c r="W31" s="143">
        <v>665</v>
      </c>
      <c r="X31" s="145">
        <f t="shared" ref="X31" si="165">AD31*50%</f>
        <v>8977.5</v>
      </c>
      <c r="Y31" s="145">
        <f t="shared" ref="Y31" si="166">AD31*20%</f>
        <v>3591</v>
      </c>
      <c r="Z31" s="145">
        <f t="shared" ref="Z31" si="167">AD31*10%</f>
        <v>1795.5</v>
      </c>
      <c r="AA31" s="145">
        <f t="shared" ref="AA31" si="168">AD31*10%</f>
        <v>1795.5</v>
      </c>
      <c r="AB31" s="145">
        <f t="shared" ref="AB31" si="169">AD31*10%</f>
        <v>1795.5</v>
      </c>
      <c r="AC31" s="146">
        <f t="shared" ref="AC31" si="170">W31/8</f>
        <v>83.125</v>
      </c>
      <c r="AD31" s="147">
        <f t="shared" si="8"/>
        <v>17955</v>
      </c>
      <c r="AE31" s="139">
        <f t="shared" si="9"/>
        <v>8977.5</v>
      </c>
      <c r="AF31" s="139">
        <f t="shared" si="10"/>
        <v>3591</v>
      </c>
      <c r="AG31" s="139">
        <f t="shared" si="11"/>
        <v>1795.5</v>
      </c>
      <c r="AH31" s="139">
        <f t="shared" si="12"/>
        <v>1795.5</v>
      </c>
      <c r="AI31" s="139">
        <f t="shared" si="13"/>
        <v>1795.5</v>
      </c>
      <c r="AJ31" s="145">
        <f t="shared" ref="AJ31" si="171">SUM(U31*AC31)</f>
        <v>11221.875</v>
      </c>
      <c r="AK31" s="145">
        <f t="shared" ref="AK31" si="172">SUM(T31*AC31)</f>
        <v>4156.25</v>
      </c>
      <c r="AL31" s="191">
        <f t="shared" ref="AL31" si="173">SUM(AE31:AK31)</f>
        <v>33333.125</v>
      </c>
      <c r="AM31" s="145">
        <v>0</v>
      </c>
      <c r="AN31" s="145">
        <v>0</v>
      </c>
      <c r="AO31" s="145">
        <v>0</v>
      </c>
      <c r="AP31" s="145">
        <v>1500</v>
      </c>
      <c r="AQ31" s="145">
        <v>0</v>
      </c>
      <c r="AR31" s="145">
        <f t="shared" ref="AR31" si="174">SUM(AN31:AQ31)</f>
        <v>1500</v>
      </c>
      <c r="AS31" s="145">
        <f t="shared" ref="AS31" si="175">+AL31-AR31</f>
        <v>31833.125</v>
      </c>
      <c r="AT31" s="145"/>
      <c r="AU31" s="145">
        <v>0</v>
      </c>
      <c r="AV31" s="145">
        <v>135500</v>
      </c>
      <c r="AW31" s="148">
        <v>135500</v>
      </c>
      <c r="AX31" s="149">
        <f t="shared" ref="AX31" si="176">AW31-AP31</f>
        <v>134000</v>
      </c>
      <c r="AY31" s="150"/>
    </row>
    <row r="32" spans="2:51" s="57" customFormat="1" ht="20.25" x14ac:dyDescent="0.3">
      <c r="B32" s="139">
        <v>32</v>
      </c>
      <c r="C32" s="139"/>
      <c r="D32" s="176">
        <v>10516</v>
      </c>
      <c r="E32" s="141" t="s">
        <v>50</v>
      </c>
      <c r="F32" t="s">
        <v>288</v>
      </c>
      <c r="G32" s="6" t="s">
        <v>274</v>
      </c>
      <c r="H32" s="141" t="s">
        <v>276</v>
      </c>
      <c r="I32" s="155">
        <v>44796</v>
      </c>
      <c r="J32" s="142"/>
      <c r="K32" s="142">
        <v>46109</v>
      </c>
      <c r="L32" s="142" t="str">
        <f t="shared" si="99"/>
        <v>3 years,7 months</v>
      </c>
      <c r="M32" s="143">
        <v>20</v>
      </c>
      <c r="N32" s="143">
        <v>0</v>
      </c>
      <c r="O32" s="143">
        <v>0</v>
      </c>
      <c r="P32" s="143">
        <v>0</v>
      </c>
      <c r="Q32" s="143">
        <v>0</v>
      </c>
      <c r="R32" s="144">
        <f>SUM(M32:Q32)</f>
        <v>20</v>
      </c>
      <c r="S32" s="143">
        <v>26</v>
      </c>
      <c r="T32" s="144">
        <f t="shared" si="33"/>
        <v>26</v>
      </c>
      <c r="U32" s="144">
        <f t="shared" si="100"/>
        <v>0</v>
      </c>
      <c r="V32" s="144">
        <f t="shared" si="101"/>
        <v>13</v>
      </c>
      <c r="W32" s="143">
        <v>833</v>
      </c>
      <c r="X32" s="145">
        <f t="shared" si="102"/>
        <v>11245.5</v>
      </c>
      <c r="Y32" s="145">
        <f t="shared" si="103"/>
        <v>4498.2</v>
      </c>
      <c r="Z32" s="145">
        <f t="shared" si="104"/>
        <v>2249.1</v>
      </c>
      <c r="AA32" s="145">
        <f t="shared" si="105"/>
        <v>2249.1</v>
      </c>
      <c r="AB32" s="145">
        <f t="shared" si="106"/>
        <v>2249.1</v>
      </c>
      <c r="AC32" s="146">
        <f t="shared" si="107"/>
        <v>104.125</v>
      </c>
      <c r="AD32" s="147">
        <f t="shared" si="8"/>
        <v>22491</v>
      </c>
      <c r="AE32" s="139">
        <f t="shared" si="9"/>
        <v>8330</v>
      </c>
      <c r="AF32" s="139">
        <f t="shared" si="10"/>
        <v>3332</v>
      </c>
      <c r="AG32" s="139">
        <f t="shared" si="11"/>
        <v>1666</v>
      </c>
      <c r="AH32" s="139">
        <f t="shared" si="12"/>
        <v>1666</v>
      </c>
      <c r="AI32" s="139">
        <f t="shared" si="13"/>
        <v>1666</v>
      </c>
      <c r="AJ32" s="145">
        <f t="shared" si="14"/>
        <v>0</v>
      </c>
      <c r="AK32" s="145">
        <f t="shared" si="108"/>
        <v>2707.25</v>
      </c>
      <c r="AL32" s="191">
        <f t="shared" si="109"/>
        <v>19367.25</v>
      </c>
      <c r="AM32" s="145">
        <v>0</v>
      </c>
      <c r="AN32" s="145">
        <v>0</v>
      </c>
      <c r="AO32" s="145">
        <v>0</v>
      </c>
      <c r="AP32" s="145">
        <v>0</v>
      </c>
      <c r="AQ32" s="145">
        <v>0</v>
      </c>
      <c r="AR32" s="145">
        <f t="shared" si="110"/>
        <v>0</v>
      </c>
      <c r="AS32" s="145">
        <f t="shared" si="111"/>
        <v>19367.25</v>
      </c>
      <c r="AT32" s="145"/>
      <c r="AU32" s="145">
        <v>0</v>
      </c>
      <c r="AV32" s="145">
        <v>0</v>
      </c>
      <c r="AW32" s="148">
        <v>0</v>
      </c>
      <c r="AX32" s="149">
        <f t="shared" si="112"/>
        <v>0</v>
      </c>
      <c r="AY32" s="150"/>
    </row>
    <row r="33" spans="2:51" ht="22.5" x14ac:dyDescent="0.3">
      <c r="B33" s="264" t="s">
        <v>24</v>
      </c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63">
        <f>SUM(M6:M32)</f>
        <v>579.5</v>
      </c>
      <c r="N33" s="63">
        <f>SUM(N5:N32)</f>
        <v>0</v>
      </c>
      <c r="O33" s="63">
        <f>SUM(O5:O32)</f>
        <v>6.5</v>
      </c>
      <c r="P33" s="63">
        <f>SUM(P5:P32)</f>
        <v>0</v>
      </c>
      <c r="Q33" s="63">
        <f>SUM(Q5:Q32)</f>
        <v>0</v>
      </c>
      <c r="R33" s="63">
        <f>SUM(R5:R32)</f>
        <v>612</v>
      </c>
      <c r="S33" s="63">
        <f>SUM(S5:S32)</f>
        <v>1593</v>
      </c>
      <c r="T33" s="63">
        <f>SUM(T5:T32)</f>
        <v>1043</v>
      </c>
      <c r="U33" s="63">
        <f>SUM(U5:U32)</f>
        <v>550</v>
      </c>
      <c r="V33" s="63">
        <f>SUM(V5:V32)</f>
        <v>521.5</v>
      </c>
      <c r="W33" s="63">
        <f>SUM(W5:W32)</f>
        <v>28324</v>
      </c>
      <c r="X33" s="63">
        <f>SUM(X5:X32)</f>
        <v>200374</v>
      </c>
      <c r="Y33" s="63">
        <f>SUM(Y5:Y32)</f>
        <v>80149.599999999991</v>
      </c>
      <c r="Z33" s="63">
        <f>SUM(Z5:Z32)</f>
        <v>40074.799999999996</v>
      </c>
      <c r="AA33" s="63">
        <f>SUM(AA5:AA32)</f>
        <v>40074.799999999996</v>
      </c>
      <c r="AB33" s="63">
        <f>SUM(AB5:AB32)</f>
        <v>40074.799999999996</v>
      </c>
      <c r="AC33" s="63">
        <f>SUM(AC5:AC32)</f>
        <v>3540.5</v>
      </c>
      <c r="AD33" s="63">
        <f>SUM(AD5:AD32)</f>
        <v>400748</v>
      </c>
      <c r="AE33" s="63">
        <f>SUM(AE5:AE32)</f>
        <v>165572.25</v>
      </c>
      <c r="AF33" s="63">
        <f>SUM(AF5:AF32)</f>
        <v>66228.899999999994</v>
      </c>
      <c r="AG33" s="63">
        <f>SUM(AG5:AG32)</f>
        <v>33114.449999999997</v>
      </c>
      <c r="AH33" s="63">
        <f>SUM(AH5:AH32)</f>
        <v>33114.449999999997</v>
      </c>
      <c r="AI33" s="63">
        <f>SUM(AI5:AI32)</f>
        <v>33114.449999999997</v>
      </c>
      <c r="AJ33" s="63">
        <f>SUM(AJ5:AJ32)</f>
        <v>38269.125</v>
      </c>
      <c r="AK33" s="63">
        <f>SUM(AK5:AK32)</f>
        <v>69390.0625</v>
      </c>
      <c r="AL33" s="192">
        <f>SUM(AE33:AK33)</f>
        <v>438803.6875</v>
      </c>
      <c r="AM33" s="63">
        <f t="shared" ref="AM33:AU33" si="177">SUM(AM6:AM32)</f>
        <v>0</v>
      </c>
      <c r="AN33" s="63">
        <f t="shared" si="177"/>
        <v>0</v>
      </c>
      <c r="AO33" s="63">
        <f t="shared" si="177"/>
        <v>0</v>
      </c>
      <c r="AP33" s="63">
        <f t="shared" si="177"/>
        <v>4500</v>
      </c>
      <c r="AQ33" s="63">
        <f t="shared" si="177"/>
        <v>0</v>
      </c>
      <c r="AR33" s="63">
        <f t="shared" si="177"/>
        <v>4500</v>
      </c>
      <c r="AS33" s="63">
        <f t="shared" si="177"/>
        <v>402423.8125</v>
      </c>
      <c r="AT33" s="63">
        <f t="shared" si="177"/>
        <v>0</v>
      </c>
      <c r="AU33" s="63">
        <f t="shared" si="177"/>
        <v>0</v>
      </c>
      <c r="AV33" s="63">
        <f>SUM(AV5:AV32)</f>
        <v>212500</v>
      </c>
      <c r="AW33" s="63">
        <f>SUM(AW5:AW32)</f>
        <v>212500</v>
      </c>
      <c r="AX33" s="63">
        <f>SUM(AX5:AX32)</f>
        <v>207000</v>
      </c>
      <c r="AY33" s="150"/>
    </row>
    <row r="34" spans="2:51" ht="22.5" x14ac:dyDescent="0.3">
      <c r="B34" s="265" t="s">
        <v>60</v>
      </c>
      <c r="C34" s="265"/>
      <c r="D34" s="265"/>
      <c r="E34" s="265"/>
      <c r="F34" s="265"/>
      <c r="G34" s="64"/>
      <c r="H34" s="265" t="s">
        <v>61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6" t="s">
        <v>62</v>
      </c>
      <c r="T34" s="266"/>
      <c r="U34" s="266"/>
      <c r="V34" s="266"/>
      <c r="W34" s="266"/>
      <c r="X34" s="266"/>
      <c r="Y34" s="266" t="s">
        <v>62</v>
      </c>
      <c r="Z34" s="266"/>
      <c r="AA34" s="266"/>
      <c r="AB34" s="266"/>
      <c r="AC34" s="266"/>
      <c r="AD34" s="266"/>
      <c r="AE34" s="266"/>
      <c r="AF34" s="266"/>
      <c r="AG34" s="266" t="s">
        <v>63</v>
      </c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  <c r="AX34" s="266"/>
      <c r="AY34" s="150"/>
    </row>
    <row r="37" spans="2:51" x14ac:dyDescent="0.25">
      <c r="W37" s="53">
        <f>14000/24</f>
        <v>583.33333333333337</v>
      </c>
    </row>
    <row r="38" spans="2:51" x14ac:dyDescent="0.25">
      <c r="T38" s="53">
        <f>28/8</f>
        <v>3.5</v>
      </c>
    </row>
    <row r="39" spans="2:51" x14ac:dyDescent="0.25">
      <c r="T39" s="53">
        <f>19+3.5</f>
        <v>22.5</v>
      </c>
    </row>
  </sheetData>
  <mergeCells count="18">
    <mergeCell ref="B1:AX1"/>
    <mergeCell ref="B2:AX2"/>
    <mergeCell ref="B3:F3"/>
    <mergeCell ref="I3:W3"/>
    <mergeCell ref="X3:AD3"/>
    <mergeCell ref="AE3:AM3"/>
    <mergeCell ref="AN3:AR3"/>
    <mergeCell ref="AS3:AS4"/>
    <mergeCell ref="AT3:AT4"/>
    <mergeCell ref="AU3:AU4"/>
    <mergeCell ref="AV3:AV4"/>
    <mergeCell ref="AW3:AW4"/>
    <mergeCell ref="AX3:AX4"/>
    <mergeCell ref="B33:L33"/>
    <mergeCell ref="B34:F34"/>
    <mergeCell ref="H34:R34"/>
    <mergeCell ref="S34:AF34"/>
    <mergeCell ref="AG34:AX34"/>
  </mergeCells>
  <conditionalFormatting sqref="D5">
    <cfRule type="duplicateValues" dxfId="5" priority="3"/>
    <cfRule type="cellIs" dxfId="4" priority="4" operator="equal">
      <formula>"sunday"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STAFFS</vt:lpstr>
      <vt:lpstr>WORKER'S - ESI PF</vt:lpstr>
      <vt:lpstr>STAFF'S (NAPS)</vt:lpstr>
      <vt:lpstr>WORKER'S (NAPS) (2)</vt:lpstr>
      <vt:lpstr>Non-pf ESi staff</vt:lpstr>
      <vt:lpstr>Non-pf ESi worker</vt:lpstr>
      <vt:lpstr>STAFFS!Print_Area</vt:lpstr>
      <vt:lpstr>'WORKER''S - ESI PF'!Print_Area</vt:lpstr>
      <vt:lpstr>STAFFS!Print_Titles</vt:lpstr>
      <vt:lpstr>'WORKER''S - ESI PF'!Print_Titles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2026-08-08T12:12:20Z</dcterms:modified>
</cp:coreProperties>
</file>